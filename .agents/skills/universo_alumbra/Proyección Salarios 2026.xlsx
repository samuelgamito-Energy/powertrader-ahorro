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L\AppData\Local\Microsoft\Windows\INetCache\Content.Outlook\5JE1C4WH\"/>
    </mc:Choice>
  </mc:AlternateContent>
  <xr:revisionPtr revIDLastSave="0" documentId="13_ncr:1_{4A82AB37-7C3F-4212-A4DC-A6A93C327645}" xr6:coauthVersionLast="47" xr6:coauthVersionMax="47" xr10:uidLastSave="{00000000-0000-0000-0000-000000000000}"/>
  <bookViews>
    <workbookView xWindow="28680" yWindow="-120" windowWidth="29040" windowHeight="15720" xr2:uid="{72D35A7F-790B-425E-B8B8-7D7548C8E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J33" i="1"/>
  <c r="J34" i="1"/>
  <c r="J32" i="1"/>
  <c r="J28" i="1"/>
  <c r="J29" i="1"/>
  <c r="J27" i="1"/>
  <c r="F46" i="1"/>
  <c r="F47" i="1"/>
  <c r="J38" i="1"/>
  <c r="J44" i="1"/>
  <c r="J45" i="1"/>
  <c r="J47" i="1"/>
  <c r="J48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4" i="1"/>
  <c r="J42" i="1"/>
  <c r="F42" i="1"/>
  <c r="F38" i="1"/>
  <c r="F12" i="1"/>
  <c r="F14" i="1"/>
  <c r="B53" i="1"/>
  <c r="B54" i="1" s="1"/>
  <c r="B55" i="1" s="1"/>
  <c r="J30" i="1"/>
  <c r="J31" i="1"/>
  <c r="F28" i="1"/>
  <c r="F29" i="1"/>
  <c r="F30" i="1"/>
  <c r="F31" i="1"/>
  <c r="F32" i="1"/>
  <c r="F33" i="1"/>
  <c r="F34" i="1"/>
  <c r="F27" i="1"/>
  <c r="F7" i="1"/>
  <c r="F8" i="1"/>
  <c r="F4" i="1"/>
  <c r="F48" i="1"/>
  <c r="F45" i="1"/>
  <c r="F44" i="1"/>
  <c r="J43" i="1"/>
  <c r="F43" i="1"/>
  <c r="F23" i="1"/>
  <c r="F22" i="1"/>
  <c r="F21" i="1"/>
  <c r="F20" i="1"/>
  <c r="F19" i="1"/>
  <c r="F18" i="1"/>
  <c r="F17" i="1"/>
  <c r="F16" i="1"/>
  <c r="F15" i="1"/>
  <c r="F13" i="1"/>
  <c r="F11" i="1"/>
  <c r="F10" i="1"/>
  <c r="F9" i="1"/>
  <c r="F6" i="1"/>
  <c r="F5" i="1"/>
</calcChain>
</file>

<file path=xl/sharedStrings.xml><?xml version="1.0" encoding="utf-8"?>
<sst xmlns="http://schemas.openxmlformats.org/spreadsheetml/2006/main" count="208" uniqueCount="101">
  <si>
    <t xml:space="preserve">ALUMBRA CORPORACION </t>
  </si>
  <si>
    <t>NOMBRE TRABAJADOR</t>
  </si>
  <si>
    <t>CATEGORIA</t>
  </si>
  <si>
    <t>GRUPO COT</t>
  </si>
  <si>
    <t>SEG. VIDA</t>
  </si>
  <si>
    <t xml:space="preserve">OBJETIVOS </t>
  </si>
  <si>
    <t xml:space="preserve">PAGAS </t>
  </si>
  <si>
    <t>BRUTO ANUAL</t>
  </si>
  <si>
    <t xml:space="preserve">FERNANDO NIETO LOPEZ </t>
  </si>
  <si>
    <t>SI</t>
  </si>
  <si>
    <t>COMERCIAL</t>
  </si>
  <si>
    <t xml:space="preserve">HORTENSIA VICIEN GERRER </t>
  </si>
  <si>
    <t>OFICIAL ADMINISTRATIVO</t>
  </si>
  <si>
    <t>NASARRE PEREZ JESUS</t>
  </si>
  <si>
    <t xml:space="preserve">ADMINISTRATIVA </t>
  </si>
  <si>
    <t>NO</t>
  </si>
  <si>
    <t>REBECA HERRERO</t>
  </si>
  <si>
    <t>AUXILIAR ADMINISTRATIVA</t>
  </si>
  <si>
    <t>MONICA GASTON</t>
  </si>
  <si>
    <t>KPI</t>
  </si>
  <si>
    <t>GABRIELA LUCERO</t>
  </si>
  <si>
    <t>ILIE ALEXANDRU LUCIAN</t>
  </si>
  <si>
    <t xml:space="preserve">JEFE </t>
  </si>
  <si>
    <t>Back Office</t>
  </si>
  <si>
    <t>Alguna vez</t>
  </si>
  <si>
    <t xml:space="preserve">NATALIA FERRER ESCUDER </t>
  </si>
  <si>
    <t>AUX. ADMINISTRATIVO</t>
  </si>
  <si>
    <t>Back Office -ATR</t>
  </si>
  <si>
    <t>DANIEL ALONSO</t>
  </si>
  <si>
    <t>Back Office- Liquidaciones</t>
  </si>
  <si>
    <t>SILVIA TORRES</t>
  </si>
  <si>
    <t>Back Office-Facturación</t>
  </si>
  <si>
    <t xml:space="preserve">FRANCISCO J. ALONSO TENAS </t>
  </si>
  <si>
    <t>Back Office- Incidencia</t>
  </si>
  <si>
    <t>Back Office-Contratación</t>
  </si>
  <si>
    <t>JENNYFER MARIN</t>
  </si>
  <si>
    <t xml:space="preserve">ELENA LARDIES MARTINEZ </t>
  </si>
  <si>
    <t>Dpto Contable</t>
  </si>
  <si>
    <t>Atención al cliente</t>
  </si>
  <si>
    <t>GUILLERMO CURO</t>
  </si>
  <si>
    <t>JESSICA QUINTERO</t>
  </si>
  <si>
    <t>ALUMBRA INSTALACIONES RENOVABLES</t>
  </si>
  <si>
    <t xml:space="preserve">DAVID CAÑETE LOPEZ </t>
  </si>
  <si>
    <t>ING.TECNICO</t>
  </si>
  <si>
    <t>Ingeniero</t>
  </si>
  <si>
    <t xml:space="preserve">DAVID SAMPIETRO ASO </t>
  </si>
  <si>
    <t xml:space="preserve">AUX. ADMINISTRATIVO </t>
  </si>
  <si>
    <t>Asist. Ingeniero</t>
  </si>
  <si>
    <t xml:space="preserve">IVAN GARCIA GARCIA </t>
  </si>
  <si>
    <t>Administrativo</t>
  </si>
  <si>
    <t xml:space="preserve">DARIO MURILLO CASTELLS </t>
  </si>
  <si>
    <t>OFICIAL 1ª</t>
  </si>
  <si>
    <t>Instalador</t>
  </si>
  <si>
    <t>JOSUE DAVID ELVILR RODRIGUEZ</t>
  </si>
  <si>
    <t>OFICIAL 2ª</t>
  </si>
  <si>
    <t>ALUMBRA NET ZERO</t>
  </si>
  <si>
    <t>JESUS GUERRERO</t>
  </si>
  <si>
    <t>GERENTE</t>
  </si>
  <si>
    <t>GRUPO ALUMBRA</t>
  </si>
  <si>
    <t xml:space="preserve">ALBERTO FERRER USIETO </t>
  </si>
  <si>
    <t xml:space="preserve">MIRIAM MILLERA TELLO </t>
  </si>
  <si>
    <t>DONATELLLA DE ANGELIS</t>
  </si>
  <si>
    <t xml:space="preserve">CAROLL ORDUZ BADILLO </t>
  </si>
  <si>
    <t>Operaciones</t>
  </si>
  <si>
    <t>Informatico</t>
  </si>
  <si>
    <t>SALARIO ACTUAL</t>
  </si>
  <si>
    <t>BONO ANUAL 10% SALARIO</t>
  </si>
  <si>
    <t>MARIA HERRERA</t>
  </si>
  <si>
    <t>SALARIO MENSUAL</t>
  </si>
  <si>
    <t>PAGAS</t>
  </si>
  <si>
    <t>CARMEN REVIDIEGO NEBRO</t>
  </si>
  <si>
    <t>BONO ANUAL</t>
  </si>
  <si>
    <t>OBJETIVOS</t>
  </si>
  <si>
    <t>MAMADOU TOUNKARA</t>
  </si>
  <si>
    <t>OBJETIVOS ANUALES FIJOS</t>
  </si>
  <si>
    <t>Escalones</t>
  </si>
  <si>
    <t>ALONA KVASHUK</t>
  </si>
  <si>
    <t>SERGIO SOLAYA CARRASCOSO</t>
  </si>
  <si>
    <t>SI- Por instalación</t>
  </si>
  <si>
    <t>MARCOS NEVOT</t>
  </si>
  <si>
    <t>MOHAMMED EL RHAZAL</t>
  </si>
  <si>
    <t>INFORMATICO</t>
  </si>
  <si>
    <t>Back Office- Asistente</t>
  </si>
  <si>
    <t>GERENTE GENERAL</t>
  </si>
  <si>
    <t>DEPARTAMENTO</t>
  </si>
  <si>
    <t>Comercial</t>
  </si>
  <si>
    <t>Comercial- canales</t>
  </si>
  <si>
    <t>Gestión de Cobros</t>
  </si>
  <si>
    <t>SAMUEL GAMITO</t>
  </si>
  <si>
    <t>Gerente</t>
  </si>
  <si>
    <t>SALARIOS 2026</t>
  </si>
  <si>
    <t>BONO ANUEAL 2,000€</t>
  </si>
  <si>
    <t xml:space="preserve">BONO ANUAL SOBRE VENTAS </t>
  </si>
  <si>
    <t xml:space="preserve">JUAN ANTONIO MERCADAL SARRIS </t>
  </si>
  <si>
    <t>CRISTINA CANDAMO</t>
  </si>
  <si>
    <t>Coste Anual % SS</t>
  </si>
  <si>
    <t>Entra el 23 de marzo</t>
  </si>
  <si>
    <t>MERCEDES LITAGO</t>
  </si>
  <si>
    <t>JEFE</t>
  </si>
  <si>
    <t>DIRECTORA</t>
  </si>
  <si>
    <t xml:space="preserve">DIRECTOR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</si>
</sst>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€-2]\ * #,##0_-;\-[$€-2]\ * #,##0_-;_-[$€-2]\ 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3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164" fontId="0" fillId="3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0" fillId="3" borderId="0" xfId="0" applyFill="1"/>
    <xf numFmtId="0" fontId="0" fillId="0" borderId="0" xfId="0" applyAlignment="1">
      <alignment horizontal="center"/>
    </xf>
    <xf numFmtId="164" fontId="0" fillId="3" borderId="0" xfId="0" applyNumberFormat="1" applyFill="1"/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164" fontId="0" fillId="3" borderId="0" xfId="1" applyNumberFormat="1" applyFont="1" applyFill="1" applyBorder="1"/>
    <xf numFmtId="0" fontId="0" fillId="3" borderId="1" xfId="0" applyFill="1" applyBorder="1"/>
    <xf numFmtId="165" fontId="0" fillId="3" borderId="1" xfId="1" applyNumberFormat="1" applyFont="1" applyFill="1" applyBorder="1"/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F5E3-A4D5-4705-BBF6-56B901D0201D}">
  <dimension ref="A1:XEZ64"/>
  <sheetViews>
    <sheetView tabSelected="1" topLeftCell="A13" workbookViewId="0">
      <selection activeCell="L30" sqref="L30"/>
    </sheetView>
  </sheetViews>
  <sheetFormatPr baseColWidth="10" defaultRowHeight="14.4" x14ac:dyDescent="0.3"/>
  <cols>
    <col min="1" max="1" width="31.6640625" customWidth="1"/>
    <col min="2" max="2" width="26.109375" bestFit="1" customWidth="1"/>
    <col min="3" max="3" width="24.21875" customWidth="1"/>
    <col min="4" max="4" width="12" style="18" customWidth="1"/>
    <col min="5" max="5" width="17.33203125" bestFit="1" customWidth="1"/>
    <col min="6" max="6" width="16.44140625" style="30" bestFit="1" customWidth="1"/>
    <col min="7" max="7" width="16.6640625" hidden="1" customWidth="1"/>
    <col min="8" max="8" width="26.109375" bestFit="1" customWidth="1"/>
    <col min="9" max="9" width="7.21875" bestFit="1" customWidth="1"/>
    <col min="10" max="10" width="17.6640625" customWidth="1"/>
    <col min="11" max="11" width="18.21875" style="17" bestFit="1" customWidth="1"/>
    <col min="12" max="60" width="11.5546875" style="17"/>
  </cols>
  <sheetData>
    <row r="1" spans="1:1020 1025:2045 2050:3070 3075:4095 4100:5120 5125:6140 6145:7165 7170:8190 8195:9215 9220:10240 10245:11260 11265:12285 12290:13310 13315:14335 14340:15360 15365:16380" s="17" customFormat="1" x14ac:dyDescent="0.3">
      <c r="D1" s="20"/>
      <c r="F1" s="29"/>
    </row>
    <row r="2" spans="1:1020 1025:2045 2050:3070 3075:4095 4100:5120 5125:6140 6145:7165 7170:8190 8195:9215 9220:10240 10245:11260 11265:12285 12290:13310 13315:14335 14340:15360 15365:16380" x14ac:dyDescent="0.3">
      <c r="A2" s="40" t="s">
        <v>0</v>
      </c>
      <c r="B2" s="40"/>
      <c r="C2" s="40"/>
      <c r="D2" s="40"/>
      <c r="E2" s="40" t="s">
        <v>90</v>
      </c>
      <c r="F2" s="40"/>
      <c r="G2" s="40"/>
      <c r="H2" s="40"/>
      <c r="I2" s="40"/>
      <c r="J2" s="40"/>
    </row>
    <row r="3" spans="1:1020 1025:2045 2050:3070 3075:4095 4100:5120 5125:6140 6145:7165 7170:8190 8195:9215 9220:10240 10245:11260 11265:12285 12290:13310 13315:14335 14340:15360 15365:16380" s="32" customFormat="1" x14ac:dyDescent="0.3">
      <c r="A3" s="32" t="s">
        <v>1</v>
      </c>
      <c r="B3" s="32" t="s">
        <v>2</v>
      </c>
      <c r="C3" s="32" t="s">
        <v>84</v>
      </c>
      <c r="D3" s="32" t="s">
        <v>3</v>
      </c>
      <c r="E3" s="33" t="s">
        <v>7</v>
      </c>
      <c r="F3" s="32" t="s">
        <v>68</v>
      </c>
      <c r="G3" s="32" t="s">
        <v>4</v>
      </c>
      <c r="H3" s="32" t="s">
        <v>5</v>
      </c>
      <c r="I3" s="32" t="s">
        <v>6</v>
      </c>
      <c r="J3" s="33" t="s">
        <v>95</v>
      </c>
      <c r="K3" s="37"/>
      <c r="L3" s="37"/>
      <c r="M3" s="37"/>
      <c r="N3" s="37"/>
      <c r="O3" s="38"/>
      <c r="P3" s="37"/>
      <c r="Q3" s="37"/>
      <c r="R3" s="37"/>
      <c r="S3" s="37"/>
      <c r="T3" s="38"/>
      <c r="U3" s="37"/>
      <c r="V3" s="37"/>
      <c r="W3" s="37"/>
      <c r="X3" s="37"/>
      <c r="Y3" s="38"/>
      <c r="Z3" s="37"/>
      <c r="AA3" s="37"/>
      <c r="AB3" s="37"/>
      <c r="AC3" s="37"/>
      <c r="AD3" s="38"/>
      <c r="AE3" s="37"/>
      <c r="AF3" s="37"/>
      <c r="AG3" s="37"/>
      <c r="AH3" s="37"/>
      <c r="AI3" s="38"/>
      <c r="AJ3" s="37"/>
      <c r="AK3" s="37"/>
      <c r="AL3" s="37"/>
      <c r="AM3" s="37"/>
      <c r="AN3" s="38"/>
      <c r="AO3" s="37"/>
      <c r="AP3" s="37"/>
      <c r="AQ3" s="37"/>
      <c r="AR3" s="37"/>
      <c r="AS3" s="38"/>
      <c r="AT3" s="37"/>
      <c r="AU3" s="37"/>
      <c r="AV3" s="37"/>
      <c r="AW3" s="36"/>
      <c r="AX3" s="35"/>
      <c r="AY3" s="34"/>
      <c r="AZ3" s="34"/>
      <c r="BA3" s="34"/>
      <c r="BB3" s="34"/>
      <c r="BC3" s="35"/>
      <c r="BD3" s="34"/>
      <c r="BE3" s="34"/>
      <c r="BF3" s="34"/>
      <c r="BG3" s="34"/>
      <c r="BH3" s="35"/>
      <c r="BM3" s="33"/>
      <c r="BR3" s="33"/>
      <c r="BW3" s="33"/>
      <c r="CB3" s="33"/>
      <c r="CG3" s="33"/>
      <c r="CL3" s="33"/>
      <c r="CQ3" s="33"/>
      <c r="CV3" s="33"/>
      <c r="DA3" s="33"/>
      <c r="DF3" s="33"/>
      <c r="DK3" s="33"/>
      <c r="DP3" s="33"/>
      <c r="DU3" s="33"/>
      <c r="DZ3" s="33"/>
      <c r="EE3" s="33"/>
      <c r="EJ3" s="33"/>
      <c r="EO3" s="33"/>
      <c r="ET3" s="33"/>
      <c r="EY3" s="33"/>
      <c r="FD3" s="33"/>
      <c r="FI3" s="33"/>
      <c r="FN3" s="33"/>
      <c r="FS3" s="33"/>
      <c r="FX3" s="33"/>
      <c r="GC3" s="33"/>
      <c r="GH3" s="33"/>
      <c r="GM3" s="33"/>
      <c r="GR3" s="33"/>
      <c r="GW3" s="33"/>
      <c r="HB3" s="33"/>
      <c r="HG3" s="33"/>
      <c r="HL3" s="33"/>
      <c r="HQ3" s="33"/>
      <c r="HV3" s="33"/>
      <c r="IA3" s="33"/>
      <c r="IF3" s="33"/>
      <c r="IK3" s="33"/>
      <c r="IP3" s="33"/>
      <c r="IU3" s="33"/>
      <c r="IZ3" s="33"/>
      <c r="JE3" s="33"/>
      <c r="JJ3" s="33"/>
      <c r="JO3" s="33"/>
      <c r="JT3" s="33"/>
      <c r="JY3" s="33"/>
      <c r="KD3" s="33"/>
      <c r="KI3" s="33"/>
      <c r="KN3" s="33"/>
      <c r="KS3" s="33"/>
      <c r="KX3" s="33"/>
      <c r="LC3" s="33"/>
      <c r="LH3" s="33"/>
      <c r="LM3" s="33"/>
      <c r="LR3" s="33"/>
      <c r="LW3" s="33"/>
      <c r="MB3" s="33"/>
      <c r="MG3" s="33"/>
      <c r="ML3" s="33"/>
      <c r="MQ3" s="33"/>
      <c r="MV3" s="33"/>
      <c r="NA3" s="33"/>
      <c r="NF3" s="33"/>
      <c r="NK3" s="33"/>
      <c r="NP3" s="33"/>
      <c r="NU3" s="33"/>
      <c r="NZ3" s="33"/>
      <c r="OE3" s="33"/>
      <c r="OJ3" s="33"/>
      <c r="OO3" s="33"/>
      <c r="OT3" s="33"/>
      <c r="OY3" s="33"/>
      <c r="PD3" s="33"/>
      <c r="PI3" s="33"/>
      <c r="PN3" s="33"/>
      <c r="PS3" s="33"/>
      <c r="PX3" s="33"/>
      <c r="QC3" s="33"/>
      <c r="QH3" s="33"/>
      <c r="QM3" s="33"/>
      <c r="QR3" s="33"/>
      <c r="QW3" s="33"/>
      <c r="RB3" s="33"/>
      <c r="RG3" s="33"/>
      <c r="RL3" s="33"/>
      <c r="RQ3" s="33"/>
      <c r="RV3" s="33"/>
      <c r="SA3" s="33"/>
      <c r="SF3" s="33"/>
      <c r="SK3" s="33"/>
      <c r="SP3" s="33"/>
      <c r="SU3" s="33"/>
      <c r="SZ3" s="33"/>
      <c r="TE3" s="33"/>
      <c r="TJ3" s="33"/>
      <c r="TO3" s="33"/>
      <c r="TT3" s="33"/>
      <c r="TY3" s="33"/>
      <c r="UD3" s="33"/>
      <c r="UI3" s="33"/>
      <c r="UN3" s="33"/>
      <c r="US3" s="33"/>
      <c r="UX3" s="33"/>
      <c r="VC3" s="33"/>
      <c r="VH3" s="33"/>
      <c r="VM3" s="33"/>
      <c r="VR3" s="33"/>
      <c r="VW3" s="33"/>
      <c r="WB3" s="33"/>
      <c r="WG3" s="33"/>
      <c r="WL3" s="33"/>
      <c r="WQ3" s="33"/>
      <c r="WV3" s="33"/>
      <c r="XA3" s="33"/>
      <c r="XF3" s="33"/>
      <c r="XK3" s="33"/>
      <c r="XP3" s="33"/>
      <c r="XU3" s="33"/>
      <c r="XZ3" s="33"/>
      <c r="YE3" s="33"/>
      <c r="YJ3" s="33"/>
      <c r="YO3" s="33"/>
      <c r="YT3" s="33"/>
      <c r="YY3" s="33"/>
      <c r="ZD3" s="33"/>
      <c r="ZI3" s="33"/>
      <c r="ZN3" s="33"/>
      <c r="ZS3" s="33"/>
      <c r="ZX3" s="33"/>
      <c r="AAC3" s="33"/>
      <c r="AAH3" s="33"/>
      <c r="AAM3" s="33"/>
      <c r="AAR3" s="33"/>
      <c r="AAW3" s="33"/>
      <c r="ABB3" s="33"/>
      <c r="ABG3" s="33"/>
      <c r="ABL3" s="33"/>
      <c r="ABQ3" s="33"/>
      <c r="ABV3" s="33"/>
      <c r="ACA3" s="33"/>
      <c r="ACF3" s="33"/>
      <c r="ACK3" s="33"/>
      <c r="ACP3" s="33"/>
      <c r="ACU3" s="33"/>
      <c r="ACZ3" s="33"/>
      <c r="ADE3" s="33"/>
      <c r="ADJ3" s="33"/>
      <c r="ADO3" s="33"/>
      <c r="ADT3" s="33"/>
      <c r="ADY3" s="33"/>
      <c r="AED3" s="33"/>
      <c r="AEI3" s="33"/>
      <c r="AEN3" s="33"/>
      <c r="AES3" s="33"/>
      <c r="AEX3" s="33"/>
      <c r="AFC3" s="33"/>
      <c r="AFH3" s="33"/>
      <c r="AFM3" s="33"/>
      <c r="AFR3" s="33"/>
      <c r="AFW3" s="33"/>
      <c r="AGB3" s="33"/>
      <c r="AGG3" s="33"/>
      <c r="AGL3" s="33"/>
      <c r="AGQ3" s="33"/>
      <c r="AGV3" s="33"/>
      <c r="AHA3" s="33"/>
      <c r="AHF3" s="33"/>
      <c r="AHK3" s="33"/>
      <c r="AHP3" s="33"/>
      <c r="AHU3" s="33"/>
      <c r="AHZ3" s="33"/>
      <c r="AIE3" s="33"/>
      <c r="AIJ3" s="33"/>
      <c r="AIO3" s="33"/>
      <c r="AIT3" s="33"/>
      <c r="AIY3" s="33"/>
      <c r="AJD3" s="33"/>
      <c r="AJI3" s="33"/>
      <c r="AJN3" s="33"/>
      <c r="AJS3" s="33"/>
      <c r="AJX3" s="33"/>
      <c r="AKC3" s="33"/>
      <c r="AKH3" s="33"/>
      <c r="AKM3" s="33"/>
      <c r="AKR3" s="33"/>
      <c r="AKW3" s="33"/>
      <c r="ALB3" s="33"/>
      <c r="ALG3" s="33"/>
      <c r="ALL3" s="33"/>
      <c r="ALQ3" s="33"/>
      <c r="ALV3" s="33"/>
      <c r="AMA3" s="33"/>
      <c r="AMF3" s="33"/>
      <c r="AMK3" s="33"/>
      <c r="AMP3" s="33"/>
      <c r="AMU3" s="33"/>
      <c r="AMZ3" s="33"/>
      <c r="ANE3" s="33"/>
      <c r="ANJ3" s="33"/>
      <c r="ANO3" s="33"/>
      <c r="ANT3" s="33"/>
      <c r="ANY3" s="33"/>
      <c r="AOD3" s="33"/>
      <c r="AOI3" s="33"/>
      <c r="AON3" s="33"/>
      <c r="AOS3" s="33"/>
      <c r="AOX3" s="33"/>
      <c r="APC3" s="33"/>
      <c r="APH3" s="33"/>
      <c r="APM3" s="33"/>
      <c r="APR3" s="33"/>
      <c r="APW3" s="33"/>
      <c r="AQB3" s="33"/>
      <c r="AQG3" s="33"/>
      <c r="AQL3" s="33"/>
      <c r="AQQ3" s="33"/>
      <c r="AQV3" s="33"/>
      <c r="ARA3" s="33"/>
      <c r="ARF3" s="33"/>
      <c r="ARK3" s="33"/>
      <c r="ARP3" s="33"/>
      <c r="ARU3" s="33"/>
      <c r="ARZ3" s="33"/>
      <c r="ASE3" s="33"/>
      <c r="ASJ3" s="33"/>
      <c r="ASO3" s="33"/>
      <c r="AST3" s="33"/>
      <c r="ASY3" s="33"/>
      <c r="ATD3" s="33"/>
      <c r="ATI3" s="33"/>
      <c r="ATN3" s="33"/>
      <c r="ATS3" s="33"/>
      <c r="ATX3" s="33"/>
      <c r="AUC3" s="33"/>
      <c r="AUH3" s="33"/>
      <c r="AUM3" s="33"/>
      <c r="AUR3" s="33"/>
      <c r="AUW3" s="33"/>
      <c r="AVB3" s="33"/>
      <c r="AVG3" s="33"/>
      <c r="AVL3" s="33"/>
      <c r="AVQ3" s="33"/>
      <c r="AVV3" s="33"/>
      <c r="AWA3" s="33"/>
      <c r="AWF3" s="33"/>
      <c r="AWK3" s="33"/>
      <c r="AWP3" s="33"/>
      <c r="AWU3" s="33"/>
      <c r="AWZ3" s="33"/>
      <c r="AXE3" s="33"/>
      <c r="AXJ3" s="33"/>
      <c r="AXO3" s="33"/>
      <c r="AXT3" s="33"/>
      <c r="AXY3" s="33"/>
      <c r="AYD3" s="33"/>
      <c r="AYI3" s="33"/>
      <c r="AYN3" s="33"/>
      <c r="AYS3" s="33"/>
      <c r="AYX3" s="33"/>
      <c r="AZC3" s="33"/>
      <c r="AZH3" s="33"/>
      <c r="AZM3" s="33"/>
      <c r="AZR3" s="33"/>
      <c r="AZW3" s="33"/>
      <c r="BAB3" s="33"/>
      <c r="BAG3" s="33"/>
      <c r="BAL3" s="33"/>
      <c r="BAQ3" s="33"/>
      <c r="BAV3" s="33"/>
      <c r="BBA3" s="33"/>
      <c r="BBF3" s="33"/>
      <c r="BBK3" s="33"/>
      <c r="BBP3" s="33"/>
      <c r="BBU3" s="33"/>
      <c r="BBZ3" s="33"/>
      <c r="BCE3" s="33"/>
      <c r="BCJ3" s="33"/>
      <c r="BCO3" s="33"/>
      <c r="BCT3" s="33"/>
      <c r="BCY3" s="33"/>
      <c r="BDD3" s="33"/>
      <c r="BDI3" s="33"/>
      <c r="BDN3" s="33"/>
      <c r="BDS3" s="33"/>
      <c r="BDX3" s="33"/>
      <c r="BEC3" s="33"/>
      <c r="BEH3" s="33"/>
      <c r="BEM3" s="33"/>
      <c r="BER3" s="33"/>
      <c r="BEW3" s="33"/>
      <c r="BFB3" s="33"/>
      <c r="BFG3" s="33"/>
      <c r="BFL3" s="33"/>
      <c r="BFQ3" s="33"/>
      <c r="BFV3" s="33"/>
      <c r="BGA3" s="33"/>
      <c r="BGF3" s="33"/>
      <c r="BGK3" s="33"/>
      <c r="BGP3" s="33"/>
      <c r="BGU3" s="33"/>
      <c r="BGZ3" s="33"/>
      <c r="BHE3" s="33"/>
      <c r="BHJ3" s="33"/>
      <c r="BHO3" s="33"/>
      <c r="BHT3" s="33"/>
      <c r="BHY3" s="33"/>
      <c r="BID3" s="33"/>
      <c r="BII3" s="33"/>
      <c r="BIN3" s="33"/>
      <c r="BIS3" s="33"/>
      <c r="BIX3" s="33"/>
      <c r="BJC3" s="33"/>
      <c r="BJH3" s="33"/>
      <c r="BJM3" s="33"/>
      <c r="BJR3" s="33"/>
      <c r="BJW3" s="33"/>
      <c r="BKB3" s="33"/>
      <c r="BKG3" s="33"/>
      <c r="BKL3" s="33"/>
      <c r="BKQ3" s="33"/>
      <c r="BKV3" s="33"/>
      <c r="BLA3" s="33"/>
      <c r="BLF3" s="33"/>
      <c r="BLK3" s="33"/>
      <c r="BLP3" s="33"/>
      <c r="BLU3" s="33"/>
      <c r="BLZ3" s="33"/>
      <c r="BME3" s="33"/>
      <c r="BMJ3" s="33"/>
      <c r="BMO3" s="33"/>
      <c r="BMT3" s="33"/>
      <c r="BMY3" s="33"/>
      <c r="BND3" s="33"/>
      <c r="BNI3" s="33"/>
      <c r="BNN3" s="33"/>
      <c r="BNS3" s="33"/>
      <c r="BNX3" s="33"/>
      <c r="BOC3" s="33"/>
      <c r="BOH3" s="33"/>
      <c r="BOM3" s="33"/>
      <c r="BOR3" s="33"/>
      <c r="BOW3" s="33"/>
      <c r="BPB3" s="33"/>
      <c r="BPG3" s="33"/>
      <c r="BPL3" s="33"/>
      <c r="BPQ3" s="33"/>
      <c r="BPV3" s="33"/>
      <c r="BQA3" s="33"/>
      <c r="BQF3" s="33"/>
      <c r="BQK3" s="33"/>
      <c r="BQP3" s="33"/>
      <c r="BQU3" s="33"/>
      <c r="BQZ3" s="33"/>
      <c r="BRE3" s="33"/>
      <c r="BRJ3" s="33"/>
      <c r="BRO3" s="33"/>
      <c r="BRT3" s="33"/>
      <c r="BRY3" s="33"/>
      <c r="BSD3" s="33"/>
      <c r="BSI3" s="33"/>
      <c r="BSN3" s="33"/>
      <c r="BSS3" s="33"/>
      <c r="BSX3" s="33"/>
      <c r="BTC3" s="33"/>
      <c r="BTH3" s="33"/>
      <c r="BTM3" s="33"/>
      <c r="BTR3" s="33"/>
      <c r="BTW3" s="33"/>
      <c r="BUB3" s="33"/>
      <c r="BUG3" s="33"/>
      <c r="BUL3" s="33"/>
      <c r="BUQ3" s="33"/>
      <c r="BUV3" s="33"/>
      <c r="BVA3" s="33"/>
      <c r="BVF3" s="33"/>
      <c r="BVK3" s="33"/>
      <c r="BVP3" s="33"/>
      <c r="BVU3" s="33"/>
      <c r="BVZ3" s="33"/>
      <c r="BWE3" s="33"/>
      <c r="BWJ3" s="33"/>
      <c r="BWO3" s="33"/>
      <c r="BWT3" s="33"/>
      <c r="BWY3" s="33"/>
      <c r="BXD3" s="33"/>
      <c r="BXI3" s="33"/>
      <c r="BXN3" s="33"/>
      <c r="BXS3" s="33"/>
      <c r="BXX3" s="33"/>
      <c r="BYC3" s="33"/>
      <c r="BYH3" s="33"/>
      <c r="BYM3" s="33"/>
      <c r="BYR3" s="33"/>
      <c r="BYW3" s="33"/>
      <c r="BZB3" s="33"/>
      <c r="BZG3" s="33"/>
      <c r="BZL3" s="33"/>
      <c r="BZQ3" s="33"/>
      <c r="BZV3" s="33"/>
      <c r="CAA3" s="33"/>
      <c r="CAF3" s="33"/>
      <c r="CAK3" s="33"/>
      <c r="CAP3" s="33"/>
      <c r="CAU3" s="33"/>
      <c r="CAZ3" s="33"/>
      <c r="CBE3" s="33"/>
      <c r="CBJ3" s="33"/>
      <c r="CBO3" s="33"/>
      <c r="CBT3" s="33"/>
      <c r="CBY3" s="33"/>
      <c r="CCD3" s="33"/>
      <c r="CCI3" s="33"/>
      <c r="CCN3" s="33"/>
      <c r="CCS3" s="33"/>
      <c r="CCX3" s="33"/>
      <c r="CDC3" s="33"/>
      <c r="CDH3" s="33"/>
      <c r="CDM3" s="33"/>
      <c r="CDR3" s="33"/>
      <c r="CDW3" s="33"/>
      <c r="CEB3" s="33"/>
      <c r="CEG3" s="33"/>
      <c r="CEL3" s="33"/>
      <c r="CEQ3" s="33"/>
      <c r="CEV3" s="33"/>
      <c r="CFA3" s="33"/>
      <c r="CFF3" s="33"/>
      <c r="CFK3" s="33"/>
      <c r="CFP3" s="33"/>
      <c r="CFU3" s="33"/>
      <c r="CFZ3" s="33"/>
      <c r="CGE3" s="33"/>
      <c r="CGJ3" s="33"/>
      <c r="CGO3" s="33"/>
      <c r="CGT3" s="33"/>
      <c r="CGY3" s="33"/>
      <c r="CHD3" s="33"/>
      <c r="CHI3" s="33"/>
      <c r="CHN3" s="33"/>
      <c r="CHS3" s="33"/>
      <c r="CHX3" s="33"/>
      <c r="CIC3" s="33"/>
      <c r="CIH3" s="33"/>
      <c r="CIM3" s="33"/>
      <c r="CIR3" s="33"/>
      <c r="CIW3" s="33"/>
      <c r="CJB3" s="33"/>
      <c r="CJG3" s="33"/>
      <c r="CJL3" s="33"/>
      <c r="CJQ3" s="33"/>
      <c r="CJV3" s="33"/>
      <c r="CKA3" s="33"/>
      <c r="CKF3" s="33"/>
      <c r="CKK3" s="33"/>
      <c r="CKP3" s="33"/>
      <c r="CKU3" s="33"/>
      <c r="CKZ3" s="33"/>
      <c r="CLE3" s="33"/>
      <c r="CLJ3" s="33"/>
      <c r="CLO3" s="33"/>
      <c r="CLT3" s="33"/>
      <c r="CLY3" s="33"/>
      <c r="CMD3" s="33"/>
      <c r="CMI3" s="33"/>
      <c r="CMN3" s="33"/>
      <c r="CMS3" s="33"/>
      <c r="CMX3" s="33"/>
      <c r="CNC3" s="33"/>
      <c r="CNH3" s="33"/>
      <c r="CNM3" s="33"/>
      <c r="CNR3" s="33"/>
      <c r="CNW3" s="33"/>
      <c r="COB3" s="33"/>
      <c r="COG3" s="33"/>
      <c r="COL3" s="33"/>
      <c r="COQ3" s="33"/>
      <c r="COV3" s="33"/>
      <c r="CPA3" s="33"/>
      <c r="CPF3" s="33"/>
      <c r="CPK3" s="33"/>
      <c r="CPP3" s="33"/>
      <c r="CPU3" s="33"/>
      <c r="CPZ3" s="33"/>
      <c r="CQE3" s="33"/>
      <c r="CQJ3" s="33"/>
      <c r="CQO3" s="33"/>
      <c r="CQT3" s="33"/>
      <c r="CQY3" s="33"/>
      <c r="CRD3" s="33"/>
      <c r="CRI3" s="33"/>
      <c r="CRN3" s="33"/>
      <c r="CRS3" s="33"/>
      <c r="CRX3" s="33"/>
      <c r="CSC3" s="33"/>
      <c r="CSH3" s="33"/>
      <c r="CSM3" s="33"/>
      <c r="CSR3" s="33"/>
      <c r="CSW3" s="33"/>
      <c r="CTB3" s="33"/>
      <c r="CTG3" s="33"/>
      <c r="CTL3" s="33"/>
      <c r="CTQ3" s="33"/>
      <c r="CTV3" s="33"/>
      <c r="CUA3" s="33"/>
      <c r="CUF3" s="33"/>
      <c r="CUK3" s="33"/>
      <c r="CUP3" s="33"/>
      <c r="CUU3" s="33"/>
      <c r="CUZ3" s="33"/>
      <c r="CVE3" s="33"/>
      <c r="CVJ3" s="33"/>
      <c r="CVO3" s="33"/>
      <c r="CVT3" s="33"/>
      <c r="CVY3" s="33"/>
      <c r="CWD3" s="33"/>
      <c r="CWI3" s="33"/>
      <c r="CWN3" s="33"/>
      <c r="CWS3" s="33"/>
      <c r="CWX3" s="33"/>
      <c r="CXC3" s="33"/>
      <c r="CXH3" s="33"/>
      <c r="CXM3" s="33"/>
      <c r="CXR3" s="33"/>
      <c r="CXW3" s="33"/>
      <c r="CYB3" s="33"/>
      <c r="CYG3" s="33"/>
      <c r="CYL3" s="33"/>
      <c r="CYQ3" s="33"/>
      <c r="CYV3" s="33"/>
      <c r="CZA3" s="33"/>
      <c r="CZF3" s="33"/>
      <c r="CZK3" s="33"/>
      <c r="CZP3" s="33"/>
      <c r="CZU3" s="33"/>
      <c r="CZZ3" s="33"/>
      <c r="DAE3" s="33"/>
      <c r="DAJ3" s="33"/>
      <c r="DAO3" s="33"/>
      <c r="DAT3" s="33"/>
      <c r="DAY3" s="33"/>
      <c r="DBD3" s="33"/>
      <c r="DBI3" s="33"/>
      <c r="DBN3" s="33"/>
      <c r="DBS3" s="33"/>
      <c r="DBX3" s="33"/>
      <c r="DCC3" s="33"/>
      <c r="DCH3" s="33"/>
      <c r="DCM3" s="33"/>
      <c r="DCR3" s="33"/>
      <c r="DCW3" s="33"/>
      <c r="DDB3" s="33"/>
      <c r="DDG3" s="33"/>
      <c r="DDL3" s="33"/>
      <c r="DDQ3" s="33"/>
      <c r="DDV3" s="33"/>
      <c r="DEA3" s="33"/>
      <c r="DEF3" s="33"/>
      <c r="DEK3" s="33"/>
      <c r="DEP3" s="33"/>
      <c r="DEU3" s="33"/>
      <c r="DEZ3" s="33"/>
      <c r="DFE3" s="33"/>
      <c r="DFJ3" s="33"/>
      <c r="DFO3" s="33"/>
      <c r="DFT3" s="33"/>
      <c r="DFY3" s="33"/>
      <c r="DGD3" s="33"/>
      <c r="DGI3" s="33"/>
      <c r="DGN3" s="33"/>
      <c r="DGS3" s="33"/>
      <c r="DGX3" s="33"/>
      <c r="DHC3" s="33"/>
      <c r="DHH3" s="33"/>
      <c r="DHM3" s="33"/>
      <c r="DHR3" s="33"/>
      <c r="DHW3" s="33"/>
      <c r="DIB3" s="33"/>
      <c r="DIG3" s="33"/>
      <c r="DIL3" s="33"/>
      <c r="DIQ3" s="33"/>
      <c r="DIV3" s="33"/>
      <c r="DJA3" s="33"/>
      <c r="DJF3" s="33"/>
      <c r="DJK3" s="33"/>
      <c r="DJP3" s="33"/>
      <c r="DJU3" s="33"/>
      <c r="DJZ3" s="33"/>
      <c r="DKE3" s="33"/>
      <c r="DKJ3" s="33"/>
      <c r="DKO3" s="33"/>
      <c r="DKT3" s="33"/>
      <c r="DKY3" s="33"/>
      <c r="DLD3" s="33"/>
      <c r="DLI3" s="33"/>
      <c r="DLN3" s="33"/>
      <c r="DLS3" s="33"/>
      <c r="DLX3" s="33"/>
      <c r="DMC3" s="33"/>
      <c r="DMH3" s="33"/>
      <c r="DMM3" s="33"/>
      <c r="DMR3" s="33"/>
      <c r="DMW3" s="33"/>
      <c r="DNB3" s="33"/>
      <c r="DNG3" s="33"/>
      <c r="DNL3" s="33"/>
      <c r="DNQ3" s="33"/>
      <c r="DNV3" s="33"/>
      <c r="DOA3" s="33"/>
      <c r="DOF3" s="33"/>
      <c r="DOK3" s="33"/>
      <c r="DOP3" s="33"/>
      <c r="DOU3" s="33"/>
      <c r="DOZ3" s="33"/>
      <c r="DPE3" s="33"/>
      <c r="DPJ3" s="33"/>
      <c r="DPO3" s="33"/>
      <c r="DPT3" s="33"/>
      <c r="DPY3" s="33"/>
      <c r="DQD3" s="33"/>
      <c r="DQI3" s="33"/>
      <c r="DQN3" s="33"/>
      <c r="DQS3" s="33"/>
      <c r="DQX3" s="33"/>
      <c r="DRC3" s="33"/>
      <c r="DRH3" s="33"/>
      <c r="DRM3" s="33"/>
      <c r="DRR3" s="33"/>
      <c r="DRW3" s="33"/>
      <c r="DSB3" s="33"/>
      <c r="DSG3" s="33"/>
      <c r="DSL3" s="33"/>
      <c r="DSQ3" s="33"/>
      <c r="DSV3" s="33"/>
      <c r="DTA3" s="33"/>
      <c r="DTF3" s="33"/>
      <c r="DTK3" s="33"/>
      <c r="DTP3" s="33"/>
      <c r="DTU3" s="33"/>
      <c r="DTZ3" s="33"/>
      <c r="DUE3" s="33"/>
      <c r="DUJ3" s="33"/>
      <c r="DUO3" s="33"/>
      <c r="DUT3" s="33"/>
      <c r="DUY3" s="33"/>
      <c r="DVD3" s="33"/>
      <c r="DVI3" s="33"/>
      <c r="DVN3" s="33"/>
      <c r="DVS3" s="33"/>
      <c r="DVX3" s="33"/>
      <c r="DWC3" s="33"/>
      <c r="DWH3" s="33"/>
      <c r="DWM3" s="33"/>
      <c r="DWR3" s="33"/>
      <c r="DWW3" s="33"/>
      <c r="DXB3" s="33"/>
      <c r="DXG3" s="33"/>
      <c r="DXL3" s="33"/>
      <c r="DXQ3" s="33"/>
      <c r="DXV3" s="33"/>
      <c r="DYA3" s="33"/>
      <c r="DYF3" s="33"/>
      <c r="DYK3" s="33"/>
      <c r="DYP3" s="33"/>
      <c r="DYU3" s="33"/>
      <c r="DYZ3" s="33"/>
      <c r="DZE3" s="33"/>
      <c r="DZJ3" s="33"/>
      <c r="DZO3" s="33"/>
      <c r="DZT3" s="33"/>
      <c r="DZY3" s="33"/>
      <c r="EAD3" s="33"/>
      <c r="EAI3" s="33"/>
      <c r="EAN3" s="33"/>
      <c r="EAS3" s="33"/>
      <c r="EAX3" s="33"/>
      <c r="EBC3" s="33"/>
      <c r="EBH3" s="33"/>
      <c r="EBM3" s="33"/>
      <c r="EBR3" s="33"/>
      <c r="EBW3" s="33"/>
      <c r="ECB3" s="33"/>
      <c r="ECG3" s="33"/>
      <c r="ECL3" s="33"/>
      <c r="ECQ3" s="33"/>
      <c r="ECV3" s="33"/>
      <c r="EDA3" s="33"/>
      <c r="EDF3" s="33"/>
      <c r="EDK3" s="33"/>
      <c r="EDP3" s="33"/>
      <c r="EDU3" s="33"/>
      <c r="EDZ3" s="33"/>
      <c r="EEE3" s="33"/>
      <c r="EEJ3" s="33"/>
      <c r="EEO3" s="33"/>
      <c r="EET3" s="33"/>
      <c r="EEY3" s="33"/>
      <c r="EFD3" s="33"/>
      <c r="EFI3" s="33"/>
      <c r="EFN3" s="33"/>
      <c r="EFS3" s="33"/>
      <c r="EFX3" s="33"/>
      <c r="EGC3" s="33"/>
      <c r="EGH3" s="33"/>
      <c r="EGM3" s="33"/>
      <c r="EGR3" s="33"/>
      <c r="EGW3" s="33"/>
      <c r="EHB3" s="33"/>
      <c r="EHG3" s="33"/>
      <c r="EHL3" s="33"/>
      <c r="EHQ3" s="33"/>
      <c r="EHV3" s="33"/>
      <c r="EIA3" s="33"/>
      <c r="EIF3" s="33"/>
      <c r="EIK3" s="33"/>
      <c r="EIP3" s="33"/>
      <c r="EIU3" s="33"/>
      <c r="EIZ3" s="33"/>
      <c r="EJE3" s="33"/>
      <c r="EJJ3" s="33"/>
      <c r="EJO3" s="33"/>
      <c r="EJT3" s="33"/>
      <c r="EJY3" s="33"/>
      <c r="EKD3" s="33"/>
      <c r="EKI3" s="33"/>
      <c r="EKN3" s="33"/>
      <c r="EKS3" s="33"/>
      <c r="EKX3" s="33"/>
      <c r="ELC3" s="33"/>
      <c r="ELH3" s="33"/>
      <c r="ELM3" s="33"/>
      <c r="ELR3" s="33"/>
      <c r="ELW3" s="33"/>
      <c r="EMB3" s="33"/>
      <c r="EMG3" s="33"/>
      <c r="EML3" s="33"/>
      <c r="EMQ3" s="33"/>
      <c r="EMV3" s="33"/>
      <c r="ENA3" s="33"/>
      <c r="ENF3" s="33"/>
      <c r="ENK3" s="33"/>
      <c r="ENP3" s="33"/>
      <c r="ENU3" s="33"/>
      <c r="ENZ3" s="33"/>
      <c r="EOE3" s="33"/>
      <c r="EOJ3" s="33"/>
      <c r="EOO3" s="33"/>
      <c r="EOT3" s="33"/>
      <c r="EOY3" s="33"/>
      <c r="EPD3" s="33"/>
      <c r="EPI3" s="33"/>
      <c r="EPN3" s="33"/>
      <c r="EPS3" s="33"/>
      <c r="EPX3" s="33"/>
      <c r="EQC3" s="33"/>
      <c r="EQH3" s="33"/>
      <c r="EQM3" s="33"/>
      <c r="EQR3" s="33"/>
      <c r="EQW3" s="33"/>
      <c r="ERB3" s="33"/>
      <c r="ERG3" s="33"/>
      <c r="ERL3" s="33"/>
      <c r="ERQ3" s="33"/>
      <c r="ERV3" s="33"/>
      <c r="ESA3" s="33"/>
      <c r="ESF3" s="33"/>
      <c r="ESK3" s="33"/>
      <c r="ESP3" s="33"/>
      <c r="ESU3" s="33"/>
      <c r="ESZ3" s="33"/>
      <c r="ETE3" s="33"/>
      <c r="ETJ3" s="33"/>
      <c r="ETO3" s="33"/>
      <c r="ETT3" s="33"/>
      <c r="ETY3" s="33"/>
      <c r="EUD3" s="33"/>
      <c r="EUI3" s="33"/>
      <c r="EUN3" s="33"/>
      <c r="EUS3" s="33"/>
      <c r="EUX3" s="33"/>
      <c r="EVC3" s="33"/>
      <c r="EVH3" s="33"/>
      <c r="EVM3" s="33"/>
      <c r="EVR3" s="33"/>
      <c r="EVW3" s="33"/>
      <c r="EWB3" s="33"/>
      <c r="EWG3" s="33"/>
      <c r="EWL3" s="33"/>
      <c r="EWQ3" s="33"/>
      <c r="EWV3" s="33"/>
      <c r="EXA3" s="33"/>
      <c r="EXF3" s="33"/>
      <c r="EXK3" s="33"/>
      <c r="EXP3" s="33"/>
      <c r="EXU3" s="33"/>
      <c r="EXZ3" s="33"/>
      <c r="EYE3" s="33"/>
      <c r="EYJ3" s="33"/>
      <c r="EYO3" s="33"/>
      <c r="EYT3" s="33"/>
      <c r="EYY3" s="33"/>
      <c r="EZD3" s="33"/>
      <c r="EZI3" s="33"/>
      <c r="EZN3" s="33"/>
      <c r="EZS3" s="33"/>
      <c r="EZX3" s="33"/>
      <c r="FAC3" s="33"/>
      <c r="FAH3" s="33"/>
      <c r="FAM3" s="33"/>
      <c r="FAR3" s="33"/>
      <c r="FAW3" s="33"/>
      <c r="FBB3" s="33"/>
      <c r="FBG3" s="33"/>
      <c r="FBL3" s="33"/>
      <c r="FBQ3" s="33"/>
      <c r="FBV3" s="33"/>
      <c r="FCA3" s="33"/>
      <c r="FCF3" s="33"/>
      <c r="FCK3" s="33"/>
      <c r="FCP3" s="33"/>
      <c r="FCU3" s="33"/>
      <c r="FCZ3" s="33"/>
      <c r="FDE3" s="33"/>
      <c r="FDJ3" s="33"/>
      <c r="FDO3" s="33"/>
      <c r="FDT3" s="33"/>
      <c r="FDY3" s="33"/>
      <c r="FED3" s="33"/>
      <c r="FEI3" s="33"/>
      <c r="FEN3" s="33"/>
      <c r="FES3" s="33"/>
      <c r="FEX3" s="33"/>
      <c r="FFC3" s="33"/>
      <c r="FFH3" s="33"/>
      <c r="FFM3" s="33"/>
      <c r="FFR3" s="33"/>
      <c r="FFW3" s="33"/>
      <c r="FGB3" s="33"/>
      <c r="FGG3" s="33"/>
      <c r="FGL3" s="33"/>
      <c r="FGQ3" s="33"/>
      <c r="FGV3" s="33"/>
      <c r="FHA3" s="33"/>
      <c r="FHF3" s="33"/>
      <c r="FHK3" s="33"/>
      <c r="FHP3" s="33"/>
      <c r="FHU3" s="33"/>
      <c r="FHZ3" s="33"/>
      <c r="FIE3" s="33"/>
      <c r="FIJ3" s="33"/>
      <c r="FIO3" s="33"/>
      <c r="FIT3" s="33"/>
      <c r="FIY3" s="33"/>
      <c r="FJD3" s="33"/>
      <c r="FJI3" s="33"/>
      <c r="FJN3" s="33"/>
      <c r="FJS3" s="33"/>
      <c r="FJX3" s="33"/>
      <c r="FKC3" s="33"/>
      <c r="FKH3" s="33"/>
      <c r="FKM3" s="33"/>
      <c r="FKR3" s="33"/>
      <c r="FKW3" s="33"/>
      <c r="FLB3" s="33"/>
      <c r="FLG3" s="33"/>
      <c r="FLL3" s="33"/>
      <c r="FLQ3" s="33"/>
      <c r="FLV3" s="33"/>
      <c r="FMA3" s="33"/>
      <c r="FMF3" s="33"/>
      <c r="FMK3" s="33"/>
      <c r="FMP3" s="33"/>
      <c r="FMU3" s="33"/>
      <c r="FMZ3" s="33"/>
      <c r="FNE3" s="33"/>
      <c r="FNJ3" s="33"/>
      <c r="FNO3" s="33"/>
      <c r="FNT3" s="33"/>
      <c r="FNY3" s="33"/>
      <c r="FOD3" s="33"/>
      <c r="FOI3" s="33"/>
      <c r="FON3" s="33"/>
      <c r="FOS3" s="33"/>
      <c r="FOX3" s="33"/>
      <c r="FPC3" s="33"/>
      <c r="FPH3" s="33"/>
      <c r="FPM3" s="33"/>
      <c r="FPR3" s="33"/>
      <c r="FPW3" s="33"/>
      <c r="FQB3" s="33"/>
      <c r="FQG3" s="33"/>
      <c r="FQL3" s="33"/>
      <c r="FQQ3" s="33"/>
      <c r="FQV3" s="33"/>
      <c r="FRA3" s="33"/>
      <c r="FRF3" s="33"/>
      <c r="FRK3" s="33"/>
      <c r="FRP3" s="33"/>
      <c r="FRU3" s="33"/>
      <c r="FRZ3" s="33"/>
      <c r="FSE3" s="33"/>
      <c r="FSJ3" s="33"/>
      <c r="FSO3" s="33"/>
      <c r="FST3" s="33"/>
      <c r="FSY3" s="33"/>
      <c r="FTD3" s="33"/>
      <c r="FTI3" s="33"/>
      <c r="FTN3" s="33"/>
      <c r="FTS3" s="33"/>
      <c r="FTX3" s="33"/>
      <c r="FUC3" s="33"/>
      <c r="FUH3" s="33"/>
      <c r="FUM3" s="33"/>
      <c r="FUR3" s="33"/>
      <c r="FUW3" s="33"/>
      <c r="FVB3" s="33"/>
      <c r="FVG3" s="33"/>
      <c r="FVL3" s="33"/>
      <c r="FVQ3" s="33"/>
      <c r="FVV3" s="33"/>
      <c r="FWA3" s="33"/>
      <c r="FWF3" s="33"/>
      <c r="FWK3" s="33"/>
      <c r="FWP3" s="33"/>
      <c r="FWU3" s="33"/>
      <c r="FWZ3" s="33"/>
      <c r="FXE3" s="33"/>
      <c r="FXJ3" s="33"/>
      <c r="FXO3" s="33"/>
      <c r="FXT3" s="33"/>
      <c r="FXY3" s="33"/>
      <c r="FYD3" s="33"/>
      <c r="FYI3" s="33"/>
      <c r="FYN3" s="33"/>
      <c r="FYS3" s="33"/>
      <c r="FYX3" s="33"/>
      <c r="FZC3" s="33"/>
      <c r="FZH3" s="33"/>
      <c r="FZM3" s="33"/>
      <c r="FZR3" s="33"/>
      <c r="FZW3" s="33"/>
      <c r="GAB3" s="33"/>
      <c r="GAG3" s="33"/>
      <c r="GAL3" s="33"/>
      <c r="GAQ3" s="33"/>
      <c r="GAV3" s="33"/>
      <c r="GBA3" s="33"/>
      <c r="GBF3" s="33"/>
      <c r="GBK3" s="33"/>
      <c r="GBP3" s="33"/>
      <c r="GBU3" s="33"/>
      <c r="GBZ3" s="33"/>
      <c r="GCE3" s="33"/>
      <c r="GCJ3" s="33"/>
      <c r="GCO3" s="33"/>
      <c r="GCT3" s="33"/>
      <c r="GCY3" s="33"/>
      <c r="GDD3" s="33"/>
      <c r="GDI3" s="33"/>
      <c r="GDN3" s="33"/>
      <c r="GDS3" s="33"/>
      <c r="GDX3" s="33"/>
      <c r="GEC3" s="33"/>
      <c r="GEH3" s="33"/>
      <c r="GEM3" s="33"/>
      <c r="GER3" s="33"/>
      <c r="GEW3" s="33"/>
      <c r="GFB3" s="33"/>
      <c r="GFG3" s="33"/>
      <c r="GFL3" s="33"/>
      <c r="GFQ3" s="33"/>
      <c r="GFV3" s="33"/>
      <c r="GGA3" s="33"/>
      <c r="GGF3" s="33"/>
      <c r="GGK3" s="33"/>
      <c r="GGP3" s="33"/>
      <c r="GGU3" s="33"/>
      <c r="GGZ3" s="33"/>
      <c r="GHE3" s="33"/>
      <c r="GHJ3" s="33"/>
      <c r="GHO3" s="33"/>
      <c r="GHT3" s="33"/>
      <c r="GHY3" s="33"/>
      <c r="GID3" s="33"/>
      <c r="GII3" s="33"/>
      <c r="GIN3" s="33"/>
      <c r="GIS3" s="33"/>
      <c r="GIX3" s="33"/>
      <c r="GJC3" s="33"/>
      <c r="GJH3" s="33"/>
      <c r="GJM3" s="33"/>
      <c r="GJR3" s="33"/>
      <c r="GJW3" s="33"/>
      <c r="GKB3" s="33"/>
      <c r="GKG3" s="33"/>
      <c r="GKL3" s="33"/>
      <c r="GKQ3" s="33"/>
      <c r="GKV3" s="33"/>
      <c r="GLA3" s="33"/>
      <c r="GLF3" s="33"/>
      <c r="GLK3" s="33"/>
      <c r="GLP3" s="33"/>
      <c r="GLU3" s="33"/>
      <c r="GLZ3" s="33"/>
      <c r="GME3" s="33"/>
      <c r="GMJ3" s="33"/>
      <c r="GMO3" s="33"/>
      <c r="GMT3" s="33"/>
      <c r="GMY3" s="33"/>
      <c r="GND3" s="33"/>
      <c r="GNI3" s="33"/>
      <c r="GNN3" s="33"/>
      <c r="GNS3" s="33"/>
      <c r="GNX3" s="33"/>
      <c r="GOC3" s="33"/>
      <c r="GOH3" s="33"/>
      <c r="GOM3" s="33"/>
      <c r="GOR3" s="33"/>
      <c r="GOW3" s="33"/>
      <c r="GPB3" s="33"/>
      <c r="GPG3" s="33"/>
      <c r="GPL3" s="33"/>
      <c r="GPQ3" s="33"/>
      <c r="GPV3" s="33"/>
      <c r="GQA3" s="33"/>
      <c r="GQF3" s="33"/>
      <c r="GQK3" s="33"/>
      <c r="GQP3" s="33"/>
      <c r="GQU3" s="33"/>
      <c r="GQZ3" s="33"/>
      <c r="GRE3" s="33"/>
      <c r="GRJ3" s="33"/>
      <c r="GRO3" s="33"/>
      <c r="GRT3" s="33"/>
      <c r="GRY3" s="33"/>
      <c r="GSD3" s="33"/>
      <c r="GSI3" s="33"/>
      <c r="GSN3" s="33"/>
      <c r="GSS3" s="33"/>
      <c r="GSX3" s="33"/>
      <c r="GTC3" s="33"/>
      <c r="GTH3" s="33"/>
      <c r="GTM3" s="33"/>
      <c r="GTR3" s="33"/>
      <c r="GTW3" s="33"/>
      <c r="GUB3" s="33"/>
      <c r="GUG3" s="33"/>
      <c r="GUL3" s="33"/>
      <c r="GUQ3" s="33"/>
      <c r="GUV3" s="33"/>
      <c r="GVA3" s="33"/>
      <c r="GVF3" s="33"/>
      <c r="GVK3" s="33"/>
      <c r="GVP3" s="33"/>
      <c r="GVU3" s="33"/>
      <c r="GVZ3" s="33"/>
      <c r="GWE3" s="33"/>
      <c r="GWJ3" s="33"/>
      <c r="GWO3" s="33"/>
      <c r="GWT3" s="33"/>
      <c r="GWY3" s="33"/>
      <c r="GXD3" s="33"/>
      <c r="GXI3" s="33"/>
      <c r="GXN3" s="33"/>
      <c r="GXS3" s="33"/>
      <c r="GXX3" s="33"/>
      <c r="GYC3" s="33"/>
      <c r="GYH3" s="33"/>
      <c r="GYM3" s="33"/>
      <c r="GYR3" s="33"/>
      <c r="GYW3" s="33"/>
      <c r="GZB3" s="33"/>
      <c r="GZG3" s="33"/>
      <c r="GZL3" s="33"/>
      <c r="GZQ3" s="33"/>
      <c r="GZV3" s="33"/>
      <c r="HAA3" s="33"/>
      <c r="HAF3" s="33"/>
      <c r="HAK3" s="33"/>
      <c r="HAP3" s="33"/>
      <c r="HAU3" s="33"/>
      <c r="HAZ3" s="33"/>
      <c r="HBE3" s="33"/>
      <c r="HBJ3" s="33"/>
      <c r="HBO3" s="33"/>
      <c r="HBT3" s="33"/>
      <c r="HBY3" s="33"/>
      <c r="HCD3" s="33"/>
      <c r="HCI3" s="33"/>
      <c r="HCN3" s="33"/>
      <c r="HCS3" s="33"/>
      <c r="HCX3" s="33"/>
      <c r="HDC3" s="33"/>
      <c r="HDH3" s="33"/>
      <c r="HDM3" s="33"/>
      <c r="HDR3" s="33"/>
      <c r="HDW3" s="33"/>
      <c r="HEB3" s="33"/>
      <c r="HEG3" s="33"/>
      <c r="HEL3" s="33"/>
      <c r="HEQ3" s="33"/>
      <c r="HEV3" s="33"/>
      <c r="HFA3" s="33"/>
      <c r="HFF3" s="33"/>
      <c r="HFK3" s="33"/>
      <c r="HFP3" s="33"/>
      <c r="HFU3" s="33"/>
      <c r="HFZ3" s="33"/>
      <c r="HGE3" s="33"/>
      <c r="HGJ3" s="33"/>
      <c r="HGO3" s="33"/>
      <c r="HGT3" s="33"/>
      <c r="HGY3" s="33"/>
      <c r="HHD3" s="33"/>
      <c r="HHI3" s="33"/>
      <c r="HHN3" s="33"/>
      <c r="HHS3" s="33"/>
      <c r="HHX3" s="33"/>
      <c r="HIC3" s="33"/>
      <c r="HIH3" s="33"/>
      <c r="HIM3" s="33"/>
      <c r="HIR3" s="33"/>
      <c r="HIW3" s="33"/>
      <c r="HJB3" s="33"/>
      <c r="HJG3" s="33"/>
      <c r="HJL3" s="33"/>
      <c r="HJQ3" s="33"/>
      <c r="HJV3" s="33"/>
      <c r="HKA3" s="33"/>
      <c r="HKF3" s="33"/>
      <c r="HKK3" s="33"/>
      <c r="HKP3" s="33"/>
      <c r="HKU3" s="33"/>
      <c r="HKZ3" s="33"/>
      <c r="HLE3" s="33"/>
      <c r="HLJ3" s="33"/>
      <c r="HLO3" s="33"/>
      <c r="HLT3" s="33"/>
      <c r="HLY3" s="33"/>
      <c r="HMD3" s="33"/>
      <c r="HMI3" s="33"/>
      <c r="HMN3" s="33"/>
      <c r="HMS3" s="33"/>
      <c r="HMX3" s="33"/>
      <c r="HNC3" s="33"/>
      <c r="HNH3" s="33"/>
      <c r="HNM3" s="33"/>
      <c r="HNR3" s="33"/>
      <c r="HNW3" s="33"/>
      <c r="HOB3" s="33"/>
      <c r="HOG3" s="33"/>
      <c r="HOL3" s="33"/>
      <c r="HOQ3" s="33"/>
      <c r="HOV3" s="33"/>
      <c r="HPA3" s="33"/>
      <c r="HPF3" s="33"/>
      <c r="HPK3" s="33"/>
      <c r="HPP3" s="33"/>
      <c r="HPU3" s="33"/>
      <c r="HPZ3" s="33"/>
      <c r="HQE3" s="33"/>
      <c r="HQJ3" s="33"/>
      <c r="HQO3" s="33"/>
      <c r="HQT3" s="33"/>
      <c r="HQY3" s="33"/>
      <c r="HRD3" s="33"/>
      <c r="HRI3" s="33"/>
      <c r="HRN3" s="33"/>
      <c r="HRS3" s="33"/>
      <c r="HRX3" s="33"/>
      <c r="HSC3" s="33"/>
      <c r="HSH3" s="33"/>
      <c r="HSM3" s="33"/>
      <c r="HSR3" s="33"/>
      <c r="HSW3" s="33"/>
      <c r="HTB3" s="33"/>
      <c r="HTG3" s="33"/>
      <c r="HTL3" s="33"/>
      <c r="HTQ3" s="33"/>
      <c r="HTV3" s="33"/>
      <c r="HUA3" s="33"/>
      <c r="HUF3" s="33"/>
      <c r="HUK3" s="33"/>
      <c r="HUP3" s="33"/>
      <c r="HUU3" s="33"/>
      <c r="HUZ3" s="33"/>
      <c r="HVE3" s="33"/>
      <c r="HVJ3" s="33"/>
      <c r="HVO3" s="33"/>
      <c r="HVT3" s="33"/>
      <c r="HVY3" s="33"/>
      <c r="HWD3" s="33"/>
      <c r="HWI3" s="33"/>
      <c r="HWN3" s="33"/>
      <c r="HWS3" s="33"/>
      <c r="HWX3" s="33"/>
      <c r="HXC3" s="33"/>
      <c r="HXH3" s="33"/>
      <c r="HXM3" s="33"/>
      <c r="HXR3" s="33"/>
      <c r="HXW3" s="33"/>
      <c r="HYB3" s="33"/>
      <c r="HYG3" s="33"/>
      <c r="HYL3" s="33"/>
      <c r="HYQ3" s="33"/>
      <c r="HYV3" s="33"/>
      <c r="HZA3" s="33"/>
      <c r="HZF3" s="33"/>
      <c r="HZK3" s="33"/>
      <c r="HZP3" s="33"/>
      <c r="HZU3" s="33"/>
      <c r="HZZ3" s="33"/>
      <c r="IAE3" s="33"/>
      <c r="IAJ3" s="33"/>
      <c r="IAO3" s="33"/>
      <c r="IAT3" s="33"/>
      <c r="IAY3" s="33"/>
      <c r="IBD3" s="33"/>
      <c r="IBI3" s="33"/>
      <c r="IBN3" s="33"/>
      <c r="IBS3" s="33"/>
      <c r="IBX3" s="33"/>
      <c r="ICC3" s="33"/>
      <c r="ICH3" s="33"/>
      <c r="ICM3" s="33"/>
      <c r="ICR3" s="33"/>
      <c r="ICW3" s="33"/>
      <c r="IDB3" s="33"/>
      <c r="IDG3" s="33"/>
      <c r="IDL3" s="33"/>
      <c r="IDQ3" s="33"/>
      <c r="IDV3" s="33"/>
      <c r="IEA3" s="33"/>
      <c r="IEF3" s="33"/>
      <c r="IEK3" s="33"/>
      <c r="IEP3" s="33"/>
      <c r="IEU3" s="33"/>
      <c r="IEZ3" s="33"/>
      <c r="IFE3" s="33"/>
      <c r="IFJ3" s="33"/>
      <c r="IFO3" s="33"/>
      <c r="IFT3" s="33"/>
      <c r="IFY3" s="33"/>
      <c r="IGD3" s="33"/>
      <c r="IGI3" s="33"/>
      <c r="IGN3" s="33"/>
      <c r="IGS3" s="33"/>
      <c r="IGX3" s="33"/>
      <c r="IHC3" s="33"/>
      <c r="IHH3" s="33"/>
      <c r="IHM3" s="33"/>
      <c r="IHR3" s="33"/>
      <c r="IHW3" s="33"/>
      <c r="IIB3" s="33"/>
      <c r="IIG3" s="33"/>
      <c r="IIL3" s="33"/>
      <c r="IIQ3" s="33"/>
      <c r="IIV3" s="33"/>
      <c r="IJA3" s="33"/>
      <c r="IJF3" s="33"/>
      <c r="IJK3" s="33"/>
      <c r="IJP3" s="33"/>
      <c r="IJU3" s="33"/>
      <c r="IJZ3" s="33"/>
      <c r="IKE3" s="33"/>
      <c r="IKJ3" s="33"/>
      <c r="IKO3" s="33"/>
      <c r="IKT3" s="33"/>
      <c r="IKY3" s="33"/>
      <c r="ILD3" s="33"/>
      <c r="ILI3" s="33"/>
      <c r="ILN3" s="33"/>
      <c r="ILS3" s="33"/>
      <c r="ILX3" s="33"/>
      <c r="IMC3" s="33"/>
      <c r="IMH3" s="33"/>
      <c r="IMM3" s="33"/>
      <c r="IMR3" s="33"/>
      <c r="IMW3" s="33"/>
      <c r="INB3" s="33"/>
      <c r="ING3" s="33"/>
      <c r="INL3" s="33"/>
      <c r="INQ3" s="33"/>
      <c r="INV3" s="33"/>
      <c r="IOA3" s="33"/>
      <c r="IOF3" s="33"/>
      <c r="IOK3" s="33"/>
      <c r="IOP3" s="33"/>
      <c r="IOU3" s="33"/>
      <c r="IOZ3" s="33"/>
      <c r="IPE3" s="33"/>
      <c r="IPJ3" s="33"/>
      <c r="IPO3" s="33"/>
      <c r="IPT3" s="33"/>
      <c r="IPY3" s="33"/>
      <c r="IQD3" s="33"/>
      <c r="IQI3" s="33"/>
      <c r="IQN3" s="33"/>
      <c r="IQS3" s="33"/>
      <c r="IQX3" s="33"/>
      <c r="IRC3" s="33"/>
      <c r="IRH3" s="33"/>
      <c r="IRM3" s="33"/>
      <c r="IRR3" s="33"/>
      <c r="IRW3" s="33"/>
      <c r="ISB3" s="33"/>
      <c r="ISG3" s="33"/>
      <c r="ISL3" s="33"/>
      <c r="ISQ3" s="33"/>
      <c r="ISV3" s="33"/>
      <c r="ITA3" s="33"/>
      <c r="ITF3" s="33"/>
      <c r="ITK3" s="33"/>
      <c r="ITP3" s="33"/>
      <c r="ITU3" s="33"/>
      <c r="ITZ3" s="33"/>
      <c r="IUE3" s="33"/>
      <c r="IUJ3" s="33"/>
      <c r="IUO3" s="33"/>
      <c r="IUT3" s="33"/>
      <c r="IUY3" s="33"/>
      <c r="IVD3" s="33"/>
      <c r="IVI3" s="33"/>
      <c r="IVN3" s="33"/>
      <c r="IVS3" s="33"/>
      <c r="IVX3" s="33"/>
      <c r="IWC3" s="33"/>
      <c r="IWH3" s="33"/>
      <c r="IWM3" s="33"/>
      <c r="IWR3" s="33"/>
      <c r="IWW3" s="33"/>
      <c r="IXB3" s="33"/>
      <c r="IXG3" s="33"/>
      <c r="IXL3" s="33"/>
      <c r="IXQ3" s="33"/>
      <c r="IXV3" s="33"/>
      <c r="IYA3" s="33"/>
      <c r="IYF3" s="33"/>
      <c r="IYK3" s="33"/>
      <c r="IYP3" s="33"/>
      <c r="IYU3" s="33"/>
      <c r="IYZ3" s="33"/>
      <c r="IZE3" s="33"/>
      <c r="IZJ3" s="33"/>
      <c r="IZO3" s="33"/>
      <c r="IZT3" s="33"/>
      <c r="IZY3" s="33"/>
      <c r="JAD3" s="33"/>
      <c r="JAI3" s="33"/>
      <c r="JAN3" s="33"/>
      <c r="JAS3" s="33"/>
      <c r="JAX3" s="33"/>
      <c r="JBC3" s="33"/>
      <c r="JBH3" s="33"/>
      <c r="JBM3" s="33"/>
      <c r="JBR3" s="33"/>
      <c r="JBW3" s="33"/>
      <c r="JCB3" s="33"/>
      <c r="JCG3" s="33"/>
      <c r="JCL3" s="33"/>
      <c r="JCQ3" s="33"/>
      <c r="JCV3" s="33"/>
      <c r="JDA3" s="33"/>
      <c r="JDF3" s="33"/>
      <c r="JDK3" s="33"/>
      <c r="JDP3" s="33"/>
      <c r="JDU3" s="33"/>
      <c r="JDZ3" s="33"/>
      <c r="JEE3" s="33"/>
      <c r="JEJ3" s="33"/>
      <c r="JEO3" s="33"/>
      <c r="JET3" s="33"/>
      <c r="JEY3" s="33"/>
      <c r="JFD3" s="33"/>
      <c r="JFI3" s="33"/>
      <c r="JFN3" s="33"/>
      <c r="JFS3" s="33"/>
      <c r="JFX3" s="33"/>
      <c r="JGC3" s="33"/>
      <c r="JGH3" s="33"/>
      <c r="JGM3" s="33"/>
      <c r="JGR3" s="33"/>
      <c r="JGW3" s="33"/>
      <c r="JHB3" s="33"/>
      <c r="JHG3" s="33"/>
      <c r="JHL3" s="33"/>
      <c r="JHQ3" s="33"/>
      <c r="JHV3" s="33"/>
      <c r="JIA3" s="33"/>
      <c r="JIF3" s="33"/>
      <c r="JIK3" s="33"/>
      <c r="JIP3" s="33"/>
      <c r="JIU3" s="33"/>
      <c r="JIZ3" s="33"/>
      <c r="JJE3" s="33"/>
      <c r="JJJ3" s="33"/>
      <c r="JJO3" s="33"/>
      <c r="JJT3" s="33"/>
      <c r="JJY3" s="33"/>
      <c r="JKD3" s="33"/>
      <c r="JKI3" s="33"/>
      <c r="JKN3" s="33"/>
      <c r="JKS3" s="33"/>
      <c r="JKX3" s="33"/>
      <c r="JLC3" s="33"/>
      <c r="JLH3" s="33"/>
      <c r="JLM3" s="33"/>
      <c r="JLR3" s="33"/>
      <c r="JLW3" s="33"/>
      <c r="JMB3" s="33"/>
      <c r="JMG3" s="33"/>
      <c r="JML3" s="33"/>
      <c r="JMQ3" s="33"/>
      <c r="JMV3" s="33"/>
      <c r="JNA3" s="33"/>
      <c r="JNF3" s="33"/>
      <c r="JNK3" s="33"/>
      <c r="JNP3" s="33"/>
      <c r="JNU3" s="33"/>
      <c r="JNZ3" s="33"/>
      <c r="JOE3" s="33"/>
      <c r="JOJ3" s="33"/>
      <c r="JOO3" s="33"/>
      <c r="JOT3" s="33"/>
      <c r="JOY3" s="33"/>
      <c r="JPD3" s="33"/>
      <c r="JPI3" s="33"/>
      <c r="JPN3" s="33"/>
      <c r="JPS3" s="33"/>
      <c r="JPX3" s="33"/>
      <c r="JQC3" s="33"/>
      <c r="JQH3" s="33"/>
      <c r="JQM3" s="33"/>
      <c r="JQR3" s="33"/>
      <c r="JQW3" s="33"/>
      <c r="JRB3" s="33"/>
      <c r="JRG3" s="33"/>
      <c r="JRL3" s="33"/>
      <c r="JRQ3" s="33"/>
      <c r="JRV3" s="33"/>
      <c r="JSA3" s="33"/>
      <c r="JSF3" s="33"/>
      <c r="JSK3" s="33"/>
      <c r="JSP3" s="33"/>
      <c r="JSU3" s="33"/>
      <c r="JSZ3" s="33"/>
      <c r="JTE3" s="33"/>
      <c r="JTJ3" s="33"/>
      <c r="JTO3" s="33"/>
      <c r="JTT3" s="33"/>
      <c r="JTY3" s="33"/>
      <c r="JUD3" s="33"/>
      <c r="JUI3" s="33"/>
      <c r="JUN3" s="33"/>
      <c r="JUS3" s="33"/>
      <c r="JUX3" s="33"/>
      <c r="JVC3" s="33"/>
      <c r="JVH3" s="33"/>
      <c r="JVM3" s="33"/>
      <c r="JVR3" s="33"/>
      <c r="JVW3" s="33"/>
      <c r="JWB3" s="33"/>
      <c r="JWG3" s="33"/>
      <c r="JWL3" s="33"/>
      <c r="JWQ3" s="33"/>
      <c r="JWV3" s="33"/>
      <c r="JXA3" s="33"/>
      <c r="JXF3" s="33"/>
      <c r="JXK3" s="33"/>
      <c r="JXP3" s="33"/>
      <c r="JXU3" s="33"/>
      <c r="JXZ3" s="33"/>
      <c r="JYE3" s="33"/>
      <c r="JYJ3" s="33"/>
      <c r="JYO3" s="33"/>
      <c r="JYT3" s="33"/>
      <c r="JYY3" s="33"/>
      <c r="JZD3" s="33"/>
      <c r="JZI3" s="33"/>
      <c r="JZN3" s="33"/>
      <c r="JZS3" s="33"/>
      <c r="JZX3" s="33"/>
      <c r="KAC3" s="33"/>
      <c r="KAH3" s="33"/>
      <c r="KAM3" s="33"/>
      <c r="KAR3" s="33"/>
      <c r="KAW3" s="33"/>
      <c r="KBB3" s="33"/>
      <c r="KBG3" s="33"/>
      <c r="KBL3" s="33"/>
      <c r="KBQ3" s="33"/>
      <c r="KBV3" s="33"/>
      <c r="KCA3" s="33"/>
      <c r="KCF3" s="33"/>
      <c r="KCK3" s="33"/>
      <c r="KCP3" s="33"/>
      <c r="KCU3" s="33"/>
      <c r="KCZ3" s="33"/>
      <c r="KDE3" s="33"/>
      <c r="KDJ3" s="33"/>
      <c r="KDO3" s="33"/>
      <c r="KDT3" s="33"/>
      <c r="KDY3" s="33"/>
      <c r="KED3" s="33"/>
      <c r="KEI3" s="33"/>
      <c r="KEN3" s="33"/>
      <c r="KES3" s="33"/>
      <c r="KEX3" s="33"/>
      <c r="KFC3" s="33"/>
      <c r="KFH3" s="33"/>
      <c r="KFM3" s="33"/>
      <c r="KFR3" s="33"/>
      <c r="KFW3" s="33"/>
      <c r="KGB3" s="33"/>
      <c r="KGG3" s="33"/>
      <c r="KGL3" s="33"/>
      <c r="KGQ3" s="33"/>
      <c r="KGV3" s="33"/>
      <c r="KHA3" s="33"/>
      <c r="KHF3" s="33"/>
      <c r="KHK3" s="33"/>
      <c r="KHP3" s="33"/>
      <c r="KHU3" s="33"/>
      <c r="KHZ3" s="33"/>
      <c r="KIE3" s="33"/>
      <c r="KIJ3" s="33"/>
      <c r="KIO3" s="33"/>
      <c r="KIT3" s="33"/>
      <c r="KIY3" s="33"/>
      <c r="KJD3" s="33"/>
      <c r="KJI3" s="33"/>
      <c r="KJN3" s="33"/>
      <c r="KJS3" s="33"/>
      <c r="KJX3" s="33"/>
      <c r="KKC3" s="33"/>
      <c r="KKH3" s="33"/>
      <c r="KKM3" s="33"/>
      <c r="KKR3" s="33"/>
      <c r="KKW3" s="33"/>
      <c r="KLB3" s="33"/>
      <c r="KLG3" s="33"/>
      <c r="KLL3" s="33"/>
      <c r="KLQ3" s="33"/>
      <c r="KLV3" s="33"/>
      <c r="KMA3" s="33"/>
      <c r="KMF3" s="33"/>
      <c r="KMK3" s="33"/>
      <c r="KMP3" s="33"/>
      <c r="KMU3" s="33"/>
      <c r="KMZ3" s="33"/>
      <c r="KNE3" s="33"/>
      <c r="KNJ3" s="33"/>
      <c r="KNO3" s="33"/>
      <c r="KNT3" s="33"/>
      <c r="KNY3" s="33"/>
      <c r="KOD3" s="33"/>
      <c r="KOI3" s="33"/>
      <c r="KON3" s="33"/>
      <c r="KOS3" s="33"/>
      <c r="KOX3" s="33"/>
      <c r="KPC3" s="33"/>
      <c r="KPH3" s="33"/>
      <c r="KPM3" s="33"/>
      <c r="KPR3" s="33"/>
      <c r="KPW3" s="33"/>
      <c r="KQB3" s="33"/>
      <c r="KQG3" s="33"/>
      <c r="KQL3" s="33"/>
      <c r="KQQ3" s="33"/>
      <c r="KQV3" s="33"/>
      <c r="KRA3" s="33"/>
      <c r="KRF3" s="33"/>
      <c r="KRK3" s="33"/>
      <c r="KRP3" s="33"/>
      <c r="KRU3" s="33"/>
      <c r="KRZ3" s="33"/>
      <c r="KSE3" s="33"/>
      <c r="KSJ3" s="33"/>
      <c r="KSO3" s="33"/>
      <c r="KST3" s="33"/>
      <c r="KSY3" s="33"/>
      <c r="KTD3" s="33"/>
      <c r="KTI3" s="33"/>
      <c r="KTN3" s="33"/>
      <c r="KTS3" s="33"/>
      <c r="KTX3" s="33"/>
      <c r="KUC3" s="33"/>
      <c r="KUH3" s="33"/>
      <c r="KUM3" s="33"/>
      <c r="KUR3" s="33"/>
      <c r="KUW3" s="33"/>
      <c r="KVB3" s="33"/>
      <c r="KVG3" s="33"/>
      <c r="KVL3" s="33"/>
      <c r="KVQ3" s="33"/>
      <c r="KVV3" s="33"/>
      <c r="KWA3" s="33"/>
      <c r="KWF3" s="33"/>
      <c r="KWK3" s="33"/>
      <c r="KWP3" s="33"/>
      <c r="KWU3" s="33"/>
      <c r="KWZ3" s="33"/>
      <c r="KXE3" s="33"/>
      <c r="KXJ3" s="33"/>
      <c r="KXO3" s="33"/>
      <c r="KXT3" s="33"/>
      <c r="KXY3" s="33"/>
      <c r="KYD3" s="33"/>
      <c r="KYI3" s="33"/>
      <c r="KYN3" s="33"/>
      <c r="KYS3" s="33"/>
      <c r="KYX3" s="33"/>
      <c r="KZC3" s="33"/>
      <c r="KZH3" s="33"/>
      <c r="KZM3" s="33"/>
      <c r="KZR3" s="33"/>
      <c r="KZW3" s="33"/>
      <c r="LAB3" s="33"/>
      <c r="LAG3" s="33"/>
      <c r="LAL3" s="33"/>
      <c r="LAQ3" s="33"/>
      <c r="LAV3" s="33"/>
      <c r="LBA3" s="33"/>
      <c r="LBF3" s="33"/>
      <c r="LBK3" s="33"/>
      <c r="LBP3" s="33"/>
      <c r="LBU3" s="33"/>
      <c r="LBZ3" s="33"/>
      <c r="LCE3" s="33"/>
      <c r="LCJ3" s="33"/>
      <c r="LCO3" s="33"/>
      <c r="LCT3" s="33"/>
      <c r="LCY3" s="33"/>
      <c r="LDD3" s="33"/>
      <c r="LDI3" s="33"/>
      <c r="LDN3" s="33"/>
      <c r="LDS3" s="33"/>
      <c r="LDX3" s="33"/>
      <c r="LEC3" s="33"/>
      <c r="LEH3" s="33"/>
      <c r="LEM3" s="33"/>
      <c r="LER3" s="33"/>
      <c r="LEW3" s="33"/>
      <c r="LFB3" s="33"/>
      <c r="LFG3" s="33"/>
      <c r="LFL3" s="33"/>
      <c r="LFQ3" s="33"/>
      <c r="LFV3" s="33"/>
      <c r="LGA3" s="33"/>
      <c r="LGF3" s="33"/>
      <c r="LGK3" s="33"/>
      <c r="LGP3" s="33"/>
      <c r="LGU3" s="33"/>
      <c r="LGZ3" s="33"/>
      <c r="LHE3" s="33"/>
      <c r="LHJ3" s="33"/>
      <c r="LHO3" s="33"/>
      <c r="LHT3" s="33"/>
      <c r="LHY3" s="33"/>
      <c r="LID3" s="33"/>
      <c r="LII3" s="33"/>
      <c r="LIN3" s="33"/>
      <c r="LIS3" s="33"/>
      <c r="LIX3" s="33"/>
      <c r="LJC3" s="33"/>
      <c r="LJH3" s="33"/>
      <c r="LJM3" s="33"/>
      <c r="LJR3" s="33"/>
      <c r="LJW3" s="33"/>
      <c r="LKB3" s="33"/>
      <c r="LKG3" s="33"/>
      <c r="LKL3" s="33"/>
      <c r="LKQ3" s="33"/>
      <c r="LKV3" s="33"/>
      <c r="LLA3" s="33"/>
      <c r="LLF3" s="33"/>
      <c r="LLK3" s="33"/>
      <c r="LLP3" s="33"/>
      <c r="LLU3" s="33"/>
      <c r="LLZ3" s="33"/>
      <c r="LME3" s="33"/>
      <c r="LMJ3" s="33"/>
      <c r="LMO3" s="33"/>
      <c r="LMT3" s="33"/>
      <c r="LMY3" s="33"/>
      <c r="LND3" s="33"/>
      <c r="LNI3" s="33"/>
      <c r="LNN3" s="33"/>
      <c r="LNS3" s="33"/>
      <c r="LNX3" s="33"/>
      <c r="LOC3" s="33"/>
      <c r="LOH3" s="33"/>
      <c r="LOM3" s="33"/>
      <c r="LOR3" s="33"/>
      <c r="LOW3" s="33"/>
      <c r="LPB3" s="33"/>
      <c r="LPG3" s="33"/>
      <c r="LPL3" s="33"/>
      <c r="LPQ3" s="33"/>
      <c r="LPV3" s="33"/>
      <c r="LQA3" s="33"/>
      <c r="LQF3" s="33"/>
      <c r="LQK3" s="33"/>
      <c r="LQP3" s="33"/>
      <c r="LQU3" s="33"/>
      <c r="LQZ3" s="33"/>
      <c r="LRE3" s="33"/>
      <c r="LRJ3" s="33"/>
      <c r="LRO3" s="33"/>
      <c r="LRT3" s="33"/>
      <c r="LRY3" s="33"/>
      <c r="LSD3" s="33"/>
      <c r="LSI3" s="33"/>
      <c r="LSN3" s="33"/>
      <c r="LSS3" s="33"/>
      <c r="LSX3" s="33"/>
      <c r="LTC3" s="33"/>
      <c r="LTH3" s="33"/>
      <c r="LTM3" s="33"/>
      <c r="LTR3" s="33"/>
      <c r="LTW3" s="33"/>
      <c r="LUB3" s="33"/>
      <c r="LUG3" s="33"/>
      <c r="LUL3" s="33"/>
      <c r="LUQ3" s="33"/>
      <c r="LUV3" s="33"/>
      <c r="LVA3" s="33"/>
      <c r="LVF3" s="33"/>
      <c r="LVK3" s="33"/>
      <c r="LVP3" s="33"/>
      <c r="LVU3" s="33"/>
      <c r="LVZ3" s="33"/>
      <c r="LWE3" s="33"/>
      <c r="LWJ3" s="33"/>
      <c r="LWO3" s="33"/>
      <c r="LWT3" s="33"/>
      <c r="LWY3" s="33"/>
      <c r="LXD3" s="33"/>
      <c r="LXI3" s="33"/>
      <c r="LXN3" s="33"/>
      <c r="LXS3" s="33"/>
      <c r="LXX3" s="33"/>
      <c r="LYC3" s="33"/>
      <c r="LYH3" s="33"/>
      <c r="LYM3" s="33"/>
      <c r="LYR3" s="33"/>
      <c r="LYW3" s="33"/>
      <c r="LZB3" s="33"/>
      <c r="LZG3" s="33"/>
      <c r="LZL3" s="33"/>
      <c r="LZQ3" s="33"/>
      <c r="LZV3" s="33"/>
      <c r="MAA3" s="33"/>
      <c r="MAF3" s="33"/>
      <c r="MAK3" s="33"/>
      <c r="MAP3" s="33"/>
      <c r="MAU3" s="33"/>
      <c r="MAZ3" s="33"/>
      <c r="MBE3" s="33"/>
      <c r="MBJ3" s="33"/>
      <c r="MBO3" s="33"/>
      <c r="MBT3" s="33"/>
      <c r="MBY3" s="33"/>
      <c r="MCD3" s="33"/>
      <c r="MCI3" s="33"/>
      <c r="MCN3" s="33"/>
      <c r="MCS3" s="33"/>
      <c r="MCX3" s="33"/>
      <c r="MDC3" s="33"/>
      <c r="MDH3" s="33"/>
      <c r="MDM3" s="33"/>
      <c r="MDR3" s="33"/>
      <c r="MDW3" s="33"/>
      <c r="MEB3" s="33"/>
      <c r="MEG3" s="33"/>
      <c r="MEL3" s="33"/>
      <c r="MEQ3" s="33"/>
      <c r="MEV3" s="33"/>
      <c r="MFA3" s="33"/>
      <c r="MFF3" s="33"/>
      <c r="MFK3" s="33"/>
      <c r="MFP3" s="33"/>
      <c r="MFU3" s="33"/>
      <c r="MFZ3" s="33"/>
      <c r="MGE3" s="33"/>
      <c r="MGJ3" s="33"/>
      <c r="MGO3" s="33"/>
      <c r="MGT3" s="33"/>
      <c r="MGY3" s="33"/>
      <c r="MHD3" s="33"/>
      <c r="MHI3" s="33"/>
      <c r="MHN3" s="33"/>
      <c r="MHS3" s="33"/>
      <c r="MHX3" s="33"/>
      <c r="MIC3" s="33"/>
      <c r="MIH3" s="33"/>
      <c r="MIM3" s="33"/>
      <c r="MIR3" s="33"/>
      <c r="MIW3" s="33"/>
      <c r="MJB3" s="33"/>
      <c r="MJG3" s="33"/>
      <c r="MJL3" s="33"/>
      <c r="MJQ3" s="33"/>
      <c r="MJV3" s="33"/>
      <c r="MKA3" s="33"/>
      <c r="MKF3" s="33"/>
      <c r="MKK3" s="33"/>
      <c r="MKP3" s="33"/>
      <c r="MKU3" s="33"/>
      <c r="MKZ3" s="33"/>
      <c r="MLE3" s="33"/>
      <c r="MLJ3" s="33"/>
      <c r="MLO3" s="33"/>
      <c r="MLT3" s="33"/>
      <c r="MLY3" s="33"/>
      <c r="MMD3" s="33"/>
      <c r="MMI3" s="33"/>
      <c r="MMN3" s="33"/>
      <c r="MMS3" s="33"/>
      <c r="MMX3" s="33"/>
      <c r="MNC3" s="33"/>
      <c r="MNH3" s="33"/>
      <c r="MNM3" s="33"/>
      <c r="MNR3" s="33"/>
      <c r="MNW3" s="33"/>
      <c r="MOB3" s="33"/>
      <c r="MOG3" s="33"/>
      <c r="MOL3" s="33"/>
      <c r="MOQ3" s="33"/>
      <c r="MOV3" s="33"/>
      <c r="MPA3" s="33"/>
      <c r="MPF3" s="33"/>
      <c r="MPK3" s="33"/>
      <c r="MPP3" s="33"/>
      <c r="MPU3" s="33"/>
      <c r="MPZ3" s="33"/>
      <c r="MQE3" s="33"/>
      <c r="MQJ3" s="33"/>
      <c r="MQO3" s="33"/>
      <c r="MQT3" s="33"/>
      <c r="MQY3" s="33"/>
      <c r="MRD3" s="33"/>
      <c r="MRI3" s="33"/>
      <c r="MRN3" s="33"/>
      <c r="MRS3" s="33"/>
      <c r="MRX3" s="33"/>
      <c r="MSC3" s="33"/>
      <c r="MSH3" s="33"/>
      <c r="MSM3" s="33"/>
      <c r="MSR3" s="33"/>
      <c r="MSW3" s="33"/>
      <c r="MTB3" s="33"/>
      <c r="MTG3" s="33"/>
      <c r="MTL3" s="33"/>
      <c r="MTQ3" s="33"/>
      <c r="MTV3" s="33"/>
      <c r="MUA3" s="33"/>
      <c r="MUF3" s="33"/>
      <c r="MUK3" s="33"/>
      <c r="MUP3" s="33"/>
      <c r="MUU3" s="33"/>
      <c r="MUZ3" s="33"/>
      <c r="MVE3" s="33"/>
      <c r="MVJ3" s="33"/>
      <c r="MVO3" s="33"/>
      <c r="MVT3" s="33"/>
      <c r="MVY3" s="33"/>
      <c r="MWD3" s="33"/>
      <c r="MWI3" s="33"/>
      <c r="MWN3" s="33"/>
      <c r="MWS3" s="33"/>
      <c r="MWX3" s="33"/>
      <c r="MXC3" s="33"/>
      <c r="MXH3" s="33"/>
      <c r="MXM3" s="33"/>
      <c r="MXR3" s="33"/>
      <c r="MXW3" s="33"/>
      <c r="MYB3" s="33"/>
      <c r="MYG3" s="33"/>
      <c r="MYL3" s="33"/>
      <c r="MYQ3" s="33"/>
      <c r="MYV3" s="33"/>
      <c r="MZA3" s="33"/>
      <c r="MZF3" s="33"/>
      <c r="MZK3" s="33"/>
      <c r="MZP3" s="33"/>
      <c r="MZU3" s="33"/>
      <c r="MZZ3" s="33"/>
      <c r="NAE3" s="33"/>
      <c r="NAJ3" s="33"/>
      <c r="NAO3" s="33"/>
      <c r="NAT3" s="33"/>
      <c r="NAY3" s="33"/>
      <c r="NBD3" s="33"/>
      <c r="NBI3" s="33"/>
      <c r="NBN3" s="33"/>
      <c r="NBS3" s="33"/>
      <c r="NBX3" s="33"/>
      <c r="NCC3" s="33"/>
      <c r="NCH3" s="33"/>
      <c r="NCM3" s="33"/>
      <c r="NCR3" s="33"/>
      <c r="NCW3" s="33"/>
      <c r="NDB3" s="33"/>
      <c r="NDG3" s="33"/>
      <c r="NDL3" s="33"/>
      <c r="NDQ3" s="33"/>
      <c r="NDV3" s="33"/>
      <c r="NEA3" s="33"/>
      <c r="NEF3" s="33"/>
      <c r="NEK3" s="33"/>
      <c r="NEP3" s="33"/>
      <c r="NEU3" s="33"/>
      <c r="NEZ3" s="33"/>
      <c r="NFE3" s="33"/>
      <c r="NFJ3" s="33"/>
      <c r="NFO3" s="33"/>
      <c r="NFT3" s="33"/>
      <c r="NFY3" s="33"/>
      <c r="NGD3" s="33"/>
      <c r="NGI3" s="33"/>
      <c r="NGN3" s="33"/>
      <c r="NGS3" s="33"/>
      <c r="NGX3" s="33"/>
      <c r="NHC3" s="33"/>
      <c r="NHH3" s="33"/>
      <c r="NHM3" s="33"/>
      <c r="NHR3" s="33"/>
      <c r="NHW3" s="33"/>
      <c r="NIB3" s="33"/>
      <c r="NIG3" s="33"/>
      <c r="NIL3" s="33"/>
      <c r="NIQ3" s="33"/>
      <c r="NIV3" s="33"/>
      <c r="NJA3" s="33"/>
      <c r="NJF3" s="33"/>
      <c r="NJK3" s="33"/>
      <c r="NJP3" s="33"/>
      <c r="NJU3" s="33"/>
      <c r="NJZ3" s="33"/>
      <c r="NKE3" s="33"/>
      <c r="NKJ3" s="33"/>
      <c r="NKO3" s="33"/>
      <c r="NKT3" s="33"/>
      <c r="NKY3" s="33"/>
      <c r="NLD3" s="33"/>
      <c r="NLI3" s="33"/>
      <c r="NLN3" s="33"/>
      <c r="NLS3" s="33"/>
      <c r="NLX3" s="33"/>
      <c r="NMC3" s="33"/>
      <c r="NMH3" s="33"/>
      <c r="NMM3" s="33"/>
      <c r="NMR3" s="33"/>
      <c r="NMW3" s="33"/>
      <c r="NNB3" s="33"/>
      <c r="NNG3" s="33"/>
      <c r="NNL3" s="33"/>
      <c r="NNQ3" s="33"/>
      <c r="NNV3" s="33"/>
      <c r="NOA3" s="33"/>
      <c r="NOF3" s="33"/>
      <c r="NOK3" s="33"/>
      <c r="NOP3" s="33"/>
      <c r="NOU3" s="33"/>
      <c r="NOZ3" s="33"/>
      <c r="NPE3" s="33"/>
      <c r="NPJ3" s="33"/>
      <c r="NPO3" s="33"/>
      <c r="NPT3" s="33"/>
      <c r="NPY3" s="33"/>
      <c r="NQD3" s="33"/>
      <c r="NQI3" s="33"/>
      <c r="NQN3" s="33"/>
      <c r="NQS3" s="33"/>
      <c r="NQX3" s="33"/>
      <c r="NRC3" s="33"/>
      <c r="NRH3" s="33"/>
      <c r="NRM3" s="33"/>
      <c r="NRR3" s="33"/>
      <c r="NRW3" s="33"/>
      <c r="NSB3" s="33"/>
      <c r="NSG3" s="33"/>
      <c r="NSL3" s="33"/>
      <c r="NSQ3" s="33"/>
      <c r="NSV3" s="33"/>
      <c r="NTA3" s="33"/>
      <c r="NTF3" s="33"/>
      <c r="NTK3" s="33"/>
      <c r="NTP3" s="33"/>
      <c r="NTU3" s="33"/>
      <c r="NTZ3" s="33"/>
      <c r="NUE3" s="33"/>
      <c r="NUJ3" s="33"/>
      <c r="NUO3" s="33"/>
      <c r="NUT3" s="33"/>
      <c r="NUY3" s="33"/>
      <c r="NVD3" s="33"/>
      <c r="NVI3" s="33"/>
      <c r="NVN3" s="33"/>
      <c r="NVS3" s="33"/>
      <c r="NVX3" s="33"/>
      <c r="NWC3" s="33"/>
      <c r="NWH3" s="33"/>
      <c r="NWM3" s="33"/>
      <c r="NWR3" s="33"/>
      <c r="NWW3" s="33"/>
      <c r="NXB3" s="33"/>
      <c r="NXG3" s="33"/>
      <c r="NXL3" s="33"/>
      <c r="NXQ3" s="33"/>
      <c r="NXV3" s="33"/>
      <c r="NYA3" s="33"/>
      <c r="NYF3" s="33"/>
      <c r="NYK3" s="33"/>
      <c r="NYP3" s="33"/>
      <c r="NYU3" s="33"/>
      <c r="NYZ3" s="33"/>
      <c r="NZE3" s="33"/>
      <c r="NZJ3" s="33"/>
      <c r="NZO3" s="33"/>
      <c r="NZT3" s="33"/>
      <c r="NZY3" s="33"/>
      <c r="OAD3" s="33"/>
      <c r="OAI3" s="33"/>
      <c r="OAN3" s="33"/>
      <c r="OAS3" s="33"/>
      <c r="OAX3" s="33"/>
      <c r="OBC3" s="33"/>
      <c r="OBH3" s="33"/>
      <c r="OBM3" s="33"/>
      <c r="OBR3" s="33"/>
      <c r="OBW3" s="33"/>
      <c r="OCB3" s="33"/>
      <c r="OCG3" s="33"/>
      <c r="OCL3" s="33"/>
      <c r="OCQ3" s="33"/>
      <c r="OCV3" s="33"/>
      <c r="ODA3" s="33"/>
      <c r="ODF3" s="33"/>
      <c r="ODK3" s="33"/>
      <c r="ODP3" s="33"/>
      <c r="ODU3" s="33"/>
      <c r="ODZ3" s="33"/>
      <c r="OEE3" s="33"/>
      <c r="OEJ3" s="33"/>
      <c r="OEO3" s="33"/>
      <c r="OET3" s="33"/>
      <c r="OEY3" s="33"/>
      <c r="OFD3" s="33"/>
      <c r="OFI3" s="33"/>
      <c r="OFN3" s="33"/>
      <c r="OFS3" s="33"/>
      <c r="OFX3" s="33"/>
      <c r="OGC3" s="33"/>
      <c r="OGH3" s="33"/>
      <c r="OGM3" s="33"/>
      <c r="OGR3" s="33"/>
      <c r="OGW3" s="33"/>
      <c r="OHB3" s="33"/>
      <c r="OHG3" s="33"/>
      <c r="OHL3" s="33"/>
      <c r="OHQ3" s="33"/>
      <c r="OHV3" s="33"/>
      <c r="OIA3" s="33"/>
      <c r="OIF3" s="33"/>
      <c r="OIK3" s="33"/>
      <c r="OIP3" s="33"/>
      <c r="OIU3" s="33"/>
      <c r="OIZ3" s="33"/>
      <c r="OJE3" s="33"/>
      <c r="OJJ3" s="33"/>
      <c r="OJO3" s="33"/>
      <c r="OJT3" s="33"/>
      <c r="OJY3" s="33"/>
      <c r="OKD3" s="33"/>
      <c r="OKI3" s="33"/>
      <c r="OKN3" s="33"/>
      <c r="OKS3" s="33"/>
      <c r="OKX3" s="33"/>
      <c r="OLC3" s="33"/>
      <c r="OLH3" s="33"/>
      <c r="OLM3" s="33"/>
      <c r="OLR3" s="33"/>
      <c r="OLW3" s="33"/>
      <c r="OMB3" s="33"/>
      <c r="OMG3" s="33"/>
      <c r="OML3" s="33"/>
      <c r="OMQ3" s="33"/>
      <c r="OMV3" s="33"/>
      <c r="ONA3" s="33"/>
      <c r="ONF3" s="33"/>
      <c r="ONK3" s="33"/>
      <c r="ONP3" s="33"/>
      <c r="ONU3" s="33"/>
      <c r="ONZ3" s="33"/>
      <c r="OOE3" s="33"/>
      <c r="OOJ3" s="33"/>
      <c r="OOO3" s="33"/>
      <c r="OOT3" s="33"/>
      <c r="OOY3" s="33"/>
      <c r="OPD3" s="33"/>
      <c r="OPI3" s="33"/>
      <c r="OPN3" s="33"/>
      <c r="OPS3" s="33"/>
      <c r="OPX3" s="33"/>
      <c r="OQC3" s="33"/>
      <c r="OQH3" s="33"/>
      <c r="OQM3" s="33"/>
      <c r="OQR3" s="33"/>
      <c r="OQW3" s="33"/>
      <c r="ORB3" s="33"/>
      <c r="ORG3" s="33"/>
      <c r="ORL3" s="33"/>
      <c r="ORQ3" s="33"/>
      <c r="ORV3" s="33"/>
      <c r="OSA3" s="33"/>
      <c r="OSF3" s="33"/>
      <c r="OSK3" s="33"/>
      <c r="OSP3" s="33"/>
      <c r="OSU3" s="33"/>
      <c r="OSZ3" s="33"/>
      <c r="OTE3" s="33"/>
      <c r="OTJ3" s="33"/>
      <c r="OTO3" s="33"/>
      <c r="OTT3" s="33"/>
      <c r="OTY3" s="33"/>
      <c r="OUD3" s="33"/>
      <c r="OUI3" s="33"/>
      <c r="OUN3" s="33"/>
      <c r="OUS3" s="33"/>
      <c r="OUX3" s="33"/>
      <c r="OVC3" s="33"/>
      <c r="OVH3" s="33"/>
      <c r="OVM3" s="33"/>
      <c r="OVR3" s="33"/>
      <c r="OVW3" s="33"/>
      <c r="OWB3" s="33"/>
      <c r="OWG3" s="33"/>
      <c r="OWL3" s="33"/>
      <c r="OWQ3" s="33"/>
      <c r="OWV3" s="33"/>
      <c r="OXA3" s="33"/>
      <c r="OXF3" s="33"/>
      <c r="OXK3" s="33"/>
      <c r="OXP3" s="33"/>
      <c r="OXU3" s="33"/>
      <c r="OXZ3" s="33"/>
      <c r="OYE3" s="33"/>
      <c r="OYJ3" s="33"/>
      <c r="OYO3" s="33"/>
      <c r="OYT3" s="33"/>
      <c r="OYY3" s="33"/>
      <c r="OZD3" s="33"/>
      <c r="OZI3" s="33"/>
      <c r="OZN3" s="33"/>
      <c r="OZS3" s="33"/>
      <c r="OZX3" s="33"/>
      <c r="PAC3" s="33"/>
      <c r="PAH3" s="33"/>
      <c r="PAM3" s="33"/>
      <c r="PAR3" s="33"/>
      <c r="PAW3" s="33"/>
      <c r="PBB3" s="33"/>
      <c r="PBG3" s="33"/>
      <c r="PBL3" s="33"/>
      <c r="PBQ3" s="33"/>
      <c r="PBV3" s="33"/>
      <c r="PCA3" s="33"/>
      <c r="PCF3" s="33"/>
      <c r="PCK3" s="33"/>
      <c r="PCP3" s="33"/>
      <c r="PCU3" s="33"/>
      <c r="PCZ3" s="33"/>
      <c r="PDE3" s="33"/>
      <c r="PDJ3" s="33"/>
      <c r="PDO3" s="33"/>
      <c r="PDT3" s="33"/>
      <c r="PDY3" s="33"/>
      <c r="PED3" s="33"/>
      <c r="PEI3" s="33"/>
      <c r="PEN3" s="33"/>
      <c r="PES3" s="33"/>
      <c r="PEX3" s="33"/>
      <c r="PFC3" s="33"/>
      <c r="PFH3" s="33"/>
      <c r="PFM3" s="33"/>
      <c r="PFR3" s="33"/>
      <c r="PFW3" s="33"/>
      <c r="PGB3" s="33"/>
      <c r="PGG3" s="33"/>
      <c r="PGL3" s="33"/>
      <c r="PGQ3" s="33"/>
      <c r="PGV3" s="33"/>
      <c r="PHA3" s="33"/>
      <c r="PHF3" s="33"/>
      <c r="PHK3" s="33"/>
      <c r="PHP3" s="33"/>
      <c r="PHU3" s="33"/>
      <c r="PHZ3" s="33"/>
      <c r="PIE3" s="33"/>
      <c r="PIJ3" s="33"/>
      <c r="PIO3" s="33"/>
      <c r="PIT3" s="33"/>
      <c r="PIY3" s="33"/>
      <c r="PJD3" s="33"/>
      <c r="PJI3" s="33"/>
      <c r="PJN3" s="33"/>
      <c r="PJS3" s="33"/>
      <c r="PJX3" s="33"/>
      <c r="PKC3" s="33"/>
      <c r="PKH3" s="33"/>
      <c r="PKM3" s="33"/>
      <c r="PKR3" s="33"/>
      <c r="PKW3" s="33"/>
      <c r="PLB3" s="33"/>
      <c r="PLG3" s="33"/>
      <c r="PLL3" s="33"/>
      <c r="PLQ3" s="33"/>
      <c r="PLV3" s="33"/>
      <c r="PMA3" s="33"/>
      <c r="PMF3" s="33"/>
      <c r="PMK3" s="33"/>
      <c r="PMP3" s="33"/>
      <c r="PMU3" s="33"/>
      <c r="PMZ3" s="33"/>
      <c r="PNE3" s="33"/>
      <c r="PNJ3" s="33"/>
      <c r="PNO3" s="33"/>
      <c r="PNT3" s="33"/>
      <c r="PNY3" s="33"/>
      <c r="POD3" s="33"/>
      <c r="POI3" s="33"/>
      <c r="PON3" s="33"/>
      <c r="POS3" s="33"/>
      <c r="POX3" s="33"/>
      <c r="PPC3" s="33"/>
      <c r="PPH3" s="33"/>
      <c r="PPM3" s="33"/>
      <c r="PPR3" s="33"/>
      <c r="PPW3" s="33"/>
      <c r="PQB3" s="33"/>
      <c r="PQG3" s="33"/>
      <c r="PQL3" s="33"/>
      <c r="PQQ3" s="33"/>
      <c r="PQV3" s="33"/>
      <c r="PRA3" s="33"/>
      <c r="PRF3" s="33"/>
      <c r="PRK3" s="33"/>
      <c r="PRP3" s="33"/>
      <c r="PRU3" s="33"/>
      <c r="PRZ3" s="33"/>
      <c r="PSE3" s="33"/>
      <c r="PSJ3" s="33"/>
      <c r="PSO3" s="33"/>
      <c r="PST3" s="33"/>
      <c r="PSY3" s="33"/>
      <c r="PTD3" s="33"/>
      <c r="PTI3" s="33"/>
      <c r="PTN3" s="33"/>
      <c r="PTS3" s="33"/>
      <c r="PTX3" s="33"/>
      <c r="PUC3" s="33"/>
      <c r="PUH3" s="33"/>
      <c r="PUM3" s="33"/>
      <c r="PUR3" s="33"/>
      <c r="PUW3" s="33"/>
      <c r="PVB3" s="33"/>
      <c r="PVG3" s="33"/>
      <c r="PVL3" s="33"/>
      <c r="PVQ3" s="33"/>
      <c r="PVV3" s="33"/>
      <c r="PWA3" s="33"/>
      <c r="PWF3" s="33"/>
      <c r="PWK3" s="33"/>
      <c r="PWP3" s="33"/>
      <c r="PWU3" s="33"/>
      <c r="PWZ3" s="33"/>
      <c r="PXE3" s="33"/>
      <c r="PXJ3" s="33"/>
      <c r="PXO3" s="33"/>
      <c r="PXT3" s="33"/>
      <c r="PXY3" s="33"/>
      <c r="PYD3" s="33"/>
      <c r="PYI3" s="33"/>
      <c r="PYN3" s="33"/>
      <c r="PYS3" s="33"/>
      <c r="PYX3" s="33"/>
      <c r="PZC3" s="33"/>
      <c r="PZH3" s="33"/>
      <c r="PZM3" s="33"/>
      <c r="PZR3" s="33"/>
      <c r="PZW3" s="33"/>
      <c r="QAB3" s="33"/>
      <c r="QAG3" s="33"/>
      <c r="QAL3" s="33"/>
      <c r="QAQ3" s="33"/>
      <c r="QAV3" s="33"/>
      <c r="QBA3" s="33"/>
      <c r="QBF3" s="33"/>
      <c r="QBK3" s="33"/>
      <c r="QBP3" s="33"/>
      <c r="QBU3" s="33"/>
      <c r="QBZ3" s="33"/>
      <c r="QCE3" s="33"/>
      <c r="QCJ3" s="33"/>
      <c r="QCO3" s="33"/>
      <c r="QCT3" s="33"/>
      <c r="QCY3" s="33"/>
      <c r="QDD3" s="33"/>
      <c r="QDI3" s="33"/>
      <c r="QDN3" s="33"/>
      <c r="QDS3" s="33"/>
      <c r="QDX3" s="33"/>
      <c r="QEC3" s="33"/>
      <c r="QEH3" s="33"/>
      <c r="QEM3" s="33"/>
      <c r="QER3" s="33"/>
      <c r="QEW3" s="33"/>
      <c r="QFB3" s="33"/>
      <c r="QFG3" s="33"/>
      <c r="QFL3" s="33"/>
      <c r="QFQ3" s="33"/>
      <c r="QFV3" s="33"/>
      <c r="QGA3" s="33"/>
      <c r="QGF3" s="33"/>
      <c r="QGK3" s="33"/>
      <c r="QGP3" s="33"/>
      <c r="QGU3" s="33"/>
      <c r="QGZ3" s="33"/>
      <c r="QHE3" s="33"/>
      <c r="QHJ3" s="33"/>
      <c r="QHO3" s="33"/>
      <c r="QHT3" s="33"/>
      <c r="QHY3" s="33"/>
      <c r="QID3" s="33"/>
      <c r="QII3" s="33"/>
      <c r="QIN3" s="33"/>
      <c r="QIS3" s="33"/>
      <c r="QIX3" s="33"/>
      <c r="QJC3" s="33"/>
      <c r="QJH3" s="33"/>
      <c r="QJM3" s="33"/>
      <c r="QJR3" s="33"/>
      <c r="QJW3" s="33"/>
      <c r="QKB3" s="33"/>
      <c r="QKG3" s="33"/>
      <c r="QKL3" s="33"/>
      <c r="QKQ3" s="33"/>
      <c r="QKV3" s="33"/>
      <c r="QLA3" s="33"/>
      <c r="QLF3" s="33"/>
      <c r="QLK3" s="33"/>
      <c r="QLP3" s="33"/>
      <c r="QLU3" s="33"/>
      <c r="QLZ3" s="33"/>
      <c r="QME3" s="33"/>
      <c r="QMJ3" s="33"/>
      <c r="QMO3" s="33"/>
      <c r="QMT3" s="33"/>
      <c r="QMY3" s="33"/>
      <c r="QND3" s="33"/>
      <c r="QNI3" s="33"/>
      <c r="QNN3" s="33"/>
      <c r="QNS3" s="33"/>
      <c r="QNX3" s="33"/>
      <c r="QOC3" s="33"/>
      <c r="QOH3" s="33"/>
      <c r="QOM3" s="33"/>
      <c r="QOR3" s="33"/>
      <c r="QOW3" s="33"/>
      <c r="QPB3" s="33"/>
      <c r="QPG3" s="33"/>
      <c r="QPL3" s="33"/>
      <c r="QPQ3" s="33"/>
      <c r="QPV3" s="33"/>
      <c r="QQA3" s="33"/>
      <c r="QQF3" s="33"/>
      <c r="QQK3" s="33"/>
      <c r="QQP3" s="33"/>
      <c r="QQU3" s="33"/>
      <c r="QQZ3" s="33"/>
      <c r="QRE3" s="33"/>
      <c r="QRJ3" s="33"/>
      <c r="QRO3" s="33"/>
      <c r="QRT3" s="33"/>
      <c r="QRY3" s="33"/>
      <c r="QSD3" s="33"/>
      <c r="QSI3" s="33"/>
      <c r="QSN3" s="33"/>
      <c r="QSS3" s="33"/>
      <c r="QSX3" s="33"/>
      <c r="QTC3" s="33"/>
      <c r="QTH3" s="33"/>
      <c r="QTM3" s="33"/>
      <c r="QTR3" s="33"/>
      <c r="QTW3" s="33"/>
      <c r="QUB3" s="33"/>
      <c r="QUG3" s="33"/>
      <c r="QUL3" s="33"/>
      <c r="QUQ3" s="33"/>
      <c r="QUV3" s="33"/>
      <c r="QVA3" s="33"/>
      <c r="QVF3" s="33"/>
      <c r="QVK3" s="33"/>
      <c r="QVP3" s="33"/>
      <c r="QVU3" s="33"/>
      <c r="QVZ3" s="33"/>
      <c r="QWE3" s="33"/>
      <c r="QWJ3" s="33"/>
      <c r="QWO3" s="33"/>
      <c r="QWT3" s="33"/>
      <c r="QWY3" s="33"/>
      <c r="QXD3" s="33"/>
      <c r="QXI3" s="33"/>
      <c r="QXN3" s="33"/>
      <c r="QXS3" s="33"/>
      <c r="QXX3" s="33"/>
      <c r="QYC3" s="33"/>
      <c r="QYH3" s="33"/>
      <c r="QYM3" s="33"/>
      <c r="QYR3" s="33"/>
      <c r="QYW3" s="33"/>
      <c r="QZB3" s="33"/>
      <c r="QZG3" s="33"/>
      <c r="QZL3" s="33"/>
      <c r="QZQ3" s="33"/>
      <c r="QZV3" s="33"/>
      <c r="RAA3" s="33"/>
      <c r="RAF3" s="33"/>
      <c r="RAK3" s="33"/>
      <c r="RAP3" s="33"/>
      <c r="RAU3" s="33"/>
      <c r="RAZ3" s="33"/>
      <c r="RBE3" s="33"/>
      <c r="RBJ3" s="33"/>
      <c r="RBO3" s="33"/>
      <c r="RBT3" s="33"/>
      <c r="RBY3" s="33"/>
      <c r="RCD3" s="33"/>
      <c r="RCI3" s="33"/>
      <c r="RCN3" s="33"/>
      <c r="RCS3" s="33"/>
      <c r="RCX3" s="33"/>
      <c r="RDC3" s="33"/>
      <c r="RDH3" s="33"/>
      <c r="RDM3" s="33"/>
      <c r="RDR3" s="33"/>
      <c r="RDW3" s="33"/>
      <c r="REB3" s="33"/>
      <c r="REG3" s="33"/>
      <c r="REL3" s="33"/>
      <c r="REQ3" s="33"/>
      <c r="REV3" s="33"/>
      <c r="RFA3" s="33"/>
      <c r="RFF3" s="33"/>
      <c r="RFK3" s="33"/>
      <c r="RFP3" s="33"/>
      <c r="RFU3" s="33"/>
      <c r="RFZ3" s="33"/>
      <c r="RGE3" s="33"/>
      <c r="RGJ3" s="33"/>
      <c r="RGO3" s="33"/>
      <c r="RGT3" s="33"/>
      <c r="RGY3" s="33"/>
      <c r="RHD3" s="33"/>
      <c r="RHI3" s="33"/>
      <c r="RHN3" s="33"/>
      <c r="RHS3" s="33"/>
      <c r="RHX3" s="33"/>
      <c r="RIC3" s="33"/>
      <c r="RIH3" s="33"/>
      <c r="RIM3" s="33"/>
      <c r="RIR3" s="33"/>
      <c r="RIW3" s="33"/>
      <c r="RJB3" s="33"/>
      <c r="RJG3" s="33"/>
      <c r="RJL3" s="33"/>
      <c r="RJQ3" s="33"/>
      <c r="RJV3" s="33"/>
      <c r="RKA3" s="33"/>
      <c r="RKF3" s="33"/>
      <c r="RKK3" s="33"/>
      <c r="RKP3" s="33"/>
      <c r="RKU3" s="33"/>
      <c r="RKZ3" s="33"/>
      <c r="RLE3" s="33"/>
      <c r="RLJ3" s="33"/>
      <c r="RLO3" s="33"/>
      <c r="RLT3" s="33"/>
      <c r="RLY3" s="33"/>
      <c r="RMD3" s="33"/>
      <c r="RMI3" s="33"/>
      <c r="RMN3" s="33"/>
      <c r="RMS3" s="33"/>
      <c r="RMX3" s="33"/>
      <c r="RNC3" s="33"/>
      <c r="RNH3" s="33"/>
      <c r="RNM3" s="33"/>
      <c r="RNR3" s="33"/>
      <c r="RNW3" s="33"/>
      <c r="ROB3" s="33"/>
      <c r="ROG3" s="33"/>
      <c r="ROL3" s="33"/>
      <c r="ROQ3" s="33"/>
      <c r="ROV3" s="33"/>
      <c r="RPA3" s="33"/>
      <c r="RPF3" s="33"/>
      <c r="RPK3" s="33"/>
      <c r="RPP3" s="33"/>
      <c r="RPU3" s="33"/>
      <c r="RPZ3" s="33"/>
      <c r="RQE3" s="33"/>
      <c r="RQJ3" s="33"/>
      <c r="RQO3" s="33"/>
      <c r="RQT3" s="33"/>
      <c r="RQY3" s="33"/>
      <c r="RRD3" s="33"/>
      <c r="RRI3" s="33"/>
      <c r="RRN3" s="33"/>
      <c r="RRS3" s="33"/>
      <c r="RRX3" s="33"/>
      <c r="RSC3" s="33"/>
      <c r="RSH3" s="33"/>
      <c r="RSM3" s="33"/>
      <c r="RSR3" s="33"/>
      <c r="RSW3" s="33"/>
      <c r="RTB3" s="33"/>
      <c r="RTG3" s="33"/>
      <c r="RTL3" s="33"/>
      <c r="RTQ3" s="33"/>
      <c r="RTV3" s="33"/>
      <c r="RUA3" s="33"/>
      <c r="RUF3" s="33"/>
      <c r="RUK3" s="33"/>
      <c r="RUP3" s="33"/>
      <c r="RUU3" s="33"/>
      <c r="RUZ3" s="33"/>
      <c r="RVE3" s="33"/>
      <c r="RVJ3" s="33"/>
      <c r="RVO3" s="33"/>
      <c r="RVT3" s="33"/>
      <c r="RVY3" s="33"/>
      <c r="RWD3" s="33"/>
      <c r="RWI3" s="33"/>
      <c r="RWN3" s="33"/>
      <c r="RWS3" s="33"/>
      <c r="RWX3" s="33"/>
      <c r="RXC3" s="33"/>
      <c r="RXH3" s="33"/>
      <c r="RXM3" s="33"/>
      <c r="RXR3" s="33"/>
      <c r="RXW3" s="33"/>
      <c r="RYB3" s="33"/>
      <c r="RYG3" s="33"/>
      <c r="RYL3" s="33"/>
      <c r="RYQ3" s="33"/>
      <c r="RYV3" s="33"/>
      <c r="RZA3" s="33"/>
      <c r="RZF3" s="33"/>
      <c r="RZK3" s="33"/>
      <c r="RZP3" s="33"/>
      <c r="RZU3" s="33"/>
      <c r="RZZ3" s="33"/>
      <c r="SAE3" s="33"/>
      <c r="SAJ3" s="33"/>
      <c r="SAO3" s="33"/>
      <c r="SAT3" s="33"/>
      <c r="SAY3" s="33"/>
      <c r="SBD3" s="33"/>
      <c r="SBI3" s="33"/>
      <c r="SBN3" s="33"/>
      <c r="SBS3" s="33"/>
      <c r="SBX3" s="33"/>
      <c r="SCC3" s="33"/>
      <c r="SCH3" s="33"/>
      <c r="SCM3" s="33"/>
      <c r="SCR3" s="33"/>
      <c r="SCW3" s="33"/>
      <c r="SDB3" s="33"/>
      <c r="SDG3" s="33"/>
      <c r="SDL3" s="33"/>
      <c r="SDQ3" s="33"/>
      <c r="SDV3" s="33"/>
      <c r="SEA3" s="33"/>
      <c r="SEF3" s="33"/>
      <c r="SEK3" s="33"/>
      <c r="SEP3" s="33"/>
      <c r="SEU3" s="33"/>
      <c r="SEZ3" s="33"/>
      <c r="SFE3" s="33"/>
      <c r="SFJ3" s="33"/>
      <c r="SFO3" s="33"/>
      <c r="SFT3" s="33"/>
      <c r="SFY3" s="33"/>
      <c r="SGD3" s="33"/>
      <c r="SGI3" s="33"/>
      <c r="SGN3" s="33"/>
      <c r="SGS3" s="33"/>
      <c r="SGX3" s="33"/>
      <c r="SHC3" s="33"/>
      <c r="SHH3" s="33"/>
      <c r="SHM3" s="33"/>
      <c r="SHR3" s="33"/>
      <c r="SHW3" s="33"/>
      <c r="SIB3" s="33"/>
      <c r="SIG3" s="33"/>
      <c r="SIL3" s="33"/>
      <c r="SIQ3" s="33"/>
      <c r="SIV3" s="33"/>
      <c r="SJA3" s="33"/>
      <c r="SJF3" s="33"/>
      <c r="SJK3" s="33"/>
      <c r="SJP3" s="33"/>
      <c r="SJU3" s="33"/>
      <c r="SJZ3" s="33"/>
      <c r="SKE3" s="33"/>
      <c r="SKJ3" s="33"/>
      <c r="SKO3" s="33"/>
      <c r="SKT3" s="33"/>
      <c r="SKY3" s="33"/>
      <c r="SLD3" s="33"/>
      <c r="SLI3" s="33"/>
      <c r="SLN3" s="33"/>
      <c r="SLS3" s="33"/>
      <c r="SLX3" s="33"/>
      <c r="SMC3" s="33"/>
      <c r="SMH3" s="33"/>
      <c r="SMM3" s="33"/>
      <c r="SMR3" s="33"/>
      <c r="SMW3" s="33"/>
      <c r="SNB3" s="33"/>
      <c r="SNG3" s="33"/>
      <c r="SNL3" s="33"/>
      <c r="SNQ3" s="33"/>
      <c r="SNV3" s="33"/>
      <c r="SOA3" s="33"/>
      <c r="SOF3" s="33"/>
      <c r="SOK3" s="33"/>
      <c r="SOP3" s="33"/>
      <c r="SOU3" s="33"/>
      <c r="SOZ3" s="33"/>
      <c r="SPE3" s="33"/>
      <c r="SPJ3" s="33"/>
      <c r="SPO3" s="33"/>
      <c r="SPT3" s="33"/>
      <c r="SPY3" s="33"/>
      <c r="SQD3" s="33"/>
      <c r="SQI3" s="33"/>
      <c r="SQN3" s="33"/>
      <c r="SQS3" s="33"/>
      <c r="SQX3" s="33"/>
      <c r="SRC3" s="33"/>
      <c r="SRH3" s="33"/>
      <c r="SRM3" s="33"/>
      <c r="SRR3" s="33"/>
      <c r="SRW3" s="33"/>
      <c r="SSB3" s="33"/>
      <c r="SSG3" s="33"/>
      <c r="SSL3" s="33"/>
      <c r="SSQ3" s="33"/>
      <c r="SSV3" s="33"/>
      <c r="STA3" s="33"/>
      <c r="STF3" s="33"/>
      <c r="STK3" s="33"/>
      <c r="STP3" s="33"/>
      <c r="STU3" s="33"/>
      <c r="STZ3" s="33"/>
      <c r="SUE3" s="33"/>
      <c r="SUJ3" s="33"/>
      <c r="SUO3" s="33"/>
      <c r="SUT3" s="33"/>
      <c r="SUY3" s="33"/>
      <c r="SVD3" s="33"/>
      <c r="SVI3" s="33"/>
      <c r="SVN3" s="33"/>
      <c r="SVS3" s="33"/>
      <c r="SVX3" s="33"/>
      <c r="SWC3" s="33"/>
      <c r="SWH3" s="33"/>
      <c r="SWM3" s="33"/>
      <c r="SWR3" s="33"/>
      <c r="SWW3" s="33"/>
      <c r="SXB3" s="33"/>
      <c r="SXG3" s="33"/>
      <c r="SXL3" s="33"/>
      <c r="SXQ3" s="33"/>
      <c r="SXV3" s="33"/>
      <c r="SYA3" s="33"/>
      <c r="SYF3" s="33"/>
      <c r="SYK3" s="33"/>
      <c r="SYP3" s="33"/>
      <c r="SYU3" s="33"/>
      <c r="SYZ3" s="33"/>
      <c r="SZE3" s="33"/>
      <c r="SZJ3" s="33"/>
      <c r="SZO3" s="33"/>
      <c r="SZT3" s="33"/>
      <c r="SZY3" s="33"/>
      <c r="TAD3" s="33"/>
      <c r="TAI3" s="33"/>
      <c r="TAN3" s="33"/>
      <c r="TAS3" s="33"/>
      <c r="TAX3" s="33"/>
      <c r="TBC3" s="33"/>
      <c r="TBH3" s="33"/>
      <c r="TBM3" s="33"/>
      <c r="TBR3" s="33"/>
      <c r="TBW3" s="33"/>
      <c r="TCB3" s="33"/>
      <c r="TCG3" s="33"/>
      <c r="TCL3" s="33"/>
      <c r="TCQ3" s="33"/>
      <c r="TCV3" s="33"/>
      <c r="TDA3" s="33"/>
      <c r="TDF3" s="33"/>
      <c r="TDK3" s="33"/>
      <c r="TDP3" s="33"/>
      <c r="TDU3" s="33"/>
      <c r="TDZ3" s="33"/>
      <c r="TEE3" s="33"/>
      <c r="TEJ3" s="33"/>
      <c r="TEO3" s="33"/>
      <c r="TET3" s="33"/>
      <c r="TEY3" s="33"/>
      <c r="TFD3" s="33"/>
      <c r="TFI3" s="33"/>
      <c r="TFN3" s="33"/>
      <c r="TFS3" s="33"/>
      <c r="TFX3" s="33"/>
      <c r="TGC3" s="33"/>
      <c r="TGH3" s="33"/>
      <c r="TGM3" s="33"/>
      <c r="TGR3" s="33"/>
      <c r="TGW3" s="33"/>
      <c r="THB3" s="33"/>
      <c r="THG3" s="33"/>
      <c r="THL3" s="33"/>
      <c r="THQ3" s="33"/>
      <c r="THV3" s="33"/>
      <c r="TIA3" s="33"/>
      <c r="TIF3" s="33"/>
      <c r="TIK3" s="33"/>
      <c r="TIP3" s="33"/>
      <c r="TIU3" s="33"/>
      <c r="TIZ3" s="33"/>
      <c r="TJE3" s="33"/>
      <c r="TJJ3" s="33"/>
      <c r="TJO3" s="33"/>
      <c r="TJT3" s="33"/>
      <c r="TJY3" s="33"/>
      <c r="TKD3" s="33"/>
      <c r="TKI3" s="33"/>
      <c r="TKN3" s="33"/>
      <c r="TKS3" s="33"/>
      <c r="TKX3" s="33"/>
      <c r="TLC3" s="33"/>
      <c r="TLH3" s="33"/>
      <c r="TLM3" s="33"/>
      <c r="TLR3" s="33"/>
      <c r="TLW3" s="33"/>
      <c r="TMB3" s="33"/>
      <c r="TMG3" s="33"/>
      <c r="TML3" s="33"/>
      <c r="TMQ3" s="33"/>
      <c r="TMV3" s="33"/>
      <c r="TNA3" s="33"/>
      <c r="TNF3" s="33"/>
      <c r="TNK3" s="33"/>
      <c r="TNP3" s="33"/>
      <c r="TNU3" s="33"/>
      <c r="TNZ3" s="33"/>
      <c r="TOE3" s="33"/>
      <c r="TOJ3" s="33"/>
      <c r="TOO3" s="33"/>
      <c r="TOT3" s="33"/>
      <c r="TOY3" s="33"/>
      <c r="TPD3" s="33"/>
      <c r="TPI3" s="33"/>
      <c r="TPN3" s="33"/>
      <c r="TPS3" s="33"/>
      <c r="TPX3" s="33"/>
      <c r="TQC3" s="33"/>
      <c r="TQH3" s="33"/>
      <c r="TQM3" s="33"/>
      <c r="TQR3" s="33"/>
      <c r="TQW3" s="33"/>
      <c r="TRB3" s="33"/>
      <c r="TRG3" s="33"/>
      <c r="TRL3" s="33"/>
      <c r="TRQ3" s="33"/>
      <c r="TRV3" s="33"/>
      <c r="TSA3" s="33"/>
      <c r="TSF3" s="33"/>
      <c r="TSK3" s="33"/>
      <c r="TSP3" s="33"/>
      <c r="TSU3" s="33"/>
      <c r="TSZ3" s="33"/>
      <c r="TTE3" s="33"/>
      <c r="TTJ3" s="33"/>
      <c r="TTO3" s="33"/>
      <c r="TTT3" s="33"/>
      <c r="TTY3" s="33"/>
      <c r="TUD3" s="33"/>
      <c r="TUI3" s="33"/>
      <c r="TUN3" s="33"/>
      <c r="TUS3" s="33"/>
      <c r="TUX3" s="33"/>
      <c r="TVC3" s="33"/>
      <c r="TVH3" s="33"/>
      <c r="TVM3" s="33"/>
      <c r="TVR3" s="33"/>
      <c r="TVW3" s="33"/>
      <c r="TWB3" s="33"/>
      <c r="TWG3" s="33"/>
      <c r="TWL3" s="33"/>
      <c r="TWQ3" s="33"/>
      <c r="TWV3" s="33"/>
      <c r="TXA3" s="33"/>
      <c r="TXF3" s="33"/>
      <c r="TXK3" s="33"/>
      <c r="TXP3" s="33"/>
      <c r="TXU3" s="33"/>
      <c r="TXZ3" s="33"/>
      <c r="TYE3" s="33"/>
      <c r="TYJ3" s="33"/>
      <c r="TYO3" s="33"/>
      <c r="TYT3" s="33"/>
      <c r="TYY3" s="33"/>
      <c r="TZD3" s="33"/>
      <c r="TZI3" s="33"/>
      <c r="TZN3" s="33"/>
      <c r="TZS3" s="33"/>
      <c r="TZX3" s="33"/>
      <c r="UAC3" s="33"/>
      <c r="UAH3" s="33"/>
      <c r="UAM3" s="33"/>
      <c r="UAR3" s="33"/>
      <c r="UAW3" s="33"/>
      <c r="UBB3" s="33"/>
      <c r="UBG3" s="33"/>
      <c r="UBL3" s="33"/>
      <c r="UBQ3" s="33"/>
      <c r="UBV3" s="33"/>
      <c r="UCA3" s="33"/>
      <c r="UCF3" s="33"/>
      <c r="UCK3" s="33"/>
      <c r="UCP3" s="33"/>
      <c r="UCU3" s="33"/>
      <c r="UCZ3" s="33"/>
      <c r="UDE3" s="33"/>
      <c r="UDJ3" s="33"/>
      <c r="UDO3" s="33"/>
      <c r="UDT3" s="33"/>
      <c r="UDY3" s="33"/>
      <c r="UED3" s="33"/>
      <c r="UEI3" s="33"/>
      <c r="UEN3" s="33"/>
      <c r="UES3" s="33"/>
      <c r="UEX3" s="33"/>
      <c r="UFC3" s="33"/>
      <c r="UFH3" s="33"/>
      <c r="UFM3" s="33"/>
      <c r="UFR3" s="33"/>
      <c r="UFW3" s="33"/>
      <c r="UGB3" s="33"/>
      <c r="UGG3" s="33"/>
      <c r="UGL3" s="33"/>
      <c r="UGQ3" s="33"/>
      <c r="UGV3" s="33"/>
      <c r="UHA3" s="33"/>
      <c r="UHF3" s="33"/>
      <c r="UHK3" s="33"/>
      <c r="UHP3" s="33"/>
      <c r="UHU3" s="33"/>
      <c r="UHZ3" s="33"/>
      <c r="UIE3" s="33"/>
      <c r="UIJ3" s="33"/>
      <c r="UIO3" s="33"/>
      <c r="UIT3" s="33"/>
      <c r="UIY3" s="33"/>
      <c r="UJD3" s="33"/>
      <c r="UJI3" s="33"/>
      <c r="UJN3" s="33"/>
      <c r="UJS3" s="33"/>
      <c r="UJX3" s="33"/>
      <c r="UKC3" s="33"/>
      <c r="UKH3" s="33"/>
      <c r="UKM3" s="33"/>
      <c r="UKR3" s="33"/>
      <c r="UKW3" s="33"/>
      <c r="ULB3" s="33"/>
      <c r="ULG3" s="33"/>
      <c r="ULL3" s="33"/>
      <c r="ULQ3" s="33"/>
      <c r="ULV3" s="33"/>
      <c r="UMA3" s="33"/>
      <c r="UMF3" s="33"/>
      <c r="UMK3" s="33"/>
      <c r="UMP3" s="33"/>
      <c r="UMU3" s="33"/>
      <c r="UMZ3" s="33"/>
      <c r="UNE3" s="33"/>
      <c r="UNJ3" s="33"/>
      <c r="UNO3" s="33"/>
      <c r="UNT3" s="33"/>
      <c r="UNY3" s="33"/>
      <c r="UOD3" s="33"/>
      <c r="UOI3" s="33"/>
      <c r="UON3" s="33"/>
      <c r="UOS3" s="33"/>
      <c r="UOX3" s="33"/>
      <c r="UPC3" s="33"/>
      <c r="UPH3" s="33"/>
      <c r="UPM3" s="33"/>
      <c r="UPR3" s="33"/>
      <c r="UPW3" s="33"/>
      <c r="UQB3" s="33"/>
      <c r="UQG3" s="33"/>
      <c r="UQL3" s="33"/>
      <c r="UQQ3" s="33"/>
      <c r="UQV3" s="33"/>
      <c r="URA3" s="33"/>
      <c r="URF3" s="33"/>
      <c r="URK3" s="33"/>
      <c r="URP3" s="33"/>
      <c r="URU3" s="33"/>
      <c r="URZ3" s="33"/>
      <c r="USE3" s="33"/>
      <c r="USJ3" s="33"/>
      <c r="USO3" s="33"/>
      <c r="UST3" s="33"/>
      <c r="USY3" s="33"/>
      <c r="UTD3" s="33"/>
      <c r="UTI3" s="33"/>
      <c r="UTN3" s="33"/>
      <c r="UTS3" s="33"/>
      <c r="UTX3" s="33"/>
      <c r="UUC3" s="33"/>
      <c r="UUH3" s="33"/>
      <c r="UUM3" s="33"/>
      <c r="UUR3" s="33"/>
      <c r="UUW3" s="33"/>
      <c r="UVB3" s="33"/>
      <c r="UVG3" s="33"/>
      <c r="UVL3" s="33"/>
      <c r="UVQ3" s="33"/>
      <c r="UVV3" s="33"/>
      <c r="UWA3" s="33"/>
      <c r="UWF3" s="33"/>
      <c r="UWK3" s="33"/>
      <c r="UWP3" s="33"/>
      <c r="UWU3" s="33"/>
      <c r="UWZ3" s="33"/>
      <c r="UXE3" s="33"/>
      <c r="UXJ3" s="33"/>
      <c r="UXO3" s="33"/>
      <c r="UXT3" s="33"/>
      <c r="UXY3" s="33"/>
      <c r="UYD3" s="33"/>
      <c r="UYI3" s="33"/>
      <c r="UYN3" s="33"/>
      <c r="UYS3" s="33"/>
      <c r="UYX3" s="33"/>
      <c r="UZC3" s="33"/>
      <c r="UZH3" s="33"/>
      <c r="UZM3" s="33"/>
      <c r="UZR3" s="33"/>
      <c r="UZW3" s="33"/>
      <c r="VAB3" s="33"/>
      <c r="VAG3" s="33"/>
      <c r="VAL3" s="33"/>
      <c r="VAQ3" s="33"/>
      <c r="VAV3" s="33"/>
      <c r="VBA3" s="33"/>
      <c r="VBF3" s="33"/>
      <c r="VBK3" s="33"/>
      <c r="VBP3" s="33"/>
      <c r="VBU3" s="33"/>
      <c r="VBZ3" s="33"/>
      <c r="VCE3" s="33"/>
      <c r="VCJ3" s="33"/>
      <c r="VCO3" s="33"/>
      <c r="VCT3" s="33"/>
      <c r="VCY3" s="33"/>
      <c r="VDD3" s="33"/>
      <c r="VDI3" s="33"/>
      <c r="VDN3" s="33"/>
      <c r="VDS3" s="33"/>
      <c r="VDX3" s="33"/>
      <c r="VEC3" s="33"/>
      <c r="VEH3" s="33"/>
      <c r="VEM3" s="33"/>
      <c r="VER3" s="33"/>
      <c r="VEW3" s="33"/>
      <c r="VFB3" s="33"/>
      <c r="VFG3" s="33"/>
      <c r="VFL3" s="33"/>
      <c r="VFQ3" s="33"/>
      <c r="VFV3" s="33"/>
      <c r="VGA3" s="33"/>
      <c r="VGF3" s="33"/>
      <c r="VGK3" s="33"/>
      <c r="VGP3" s="33"/>
      <c r="VGU3" s="33"/>
      <c r="VGZ3" s="33"/>
      <c r="VHE3" s="33"/>
      <c r="VHJ3" s="33"/>
      <c r="VHO3" s="33"/>
      <c r="VHT3" s="33"/>
      <c r="VHY3" s="33"/>
      <c r="VID3" s="33"/>
      <c r="VII3" s="33"/>
      <c r="VIN3" s="33"/>
      <c r="VIS3" s="33"/>
      <c r="VIX3" s="33"/>
      <c r="VJC3" s="33"/>
      <c r="VJH3" s="33"/>
      <c r="VJM3" s="33"/>
      <c r="VJR3" s="33"/>
      <c r="VJW3" s="33"/>
      <c r="VKB3" s="33"/>
      <c r="VKG3" s="33"/>
      <c r="VKL3" s="33"/>
      <c r="VKQ3" s="33"/>
      <c r="VKV3" s="33"/>
      <c r="VLA3" s="33"/>
      <c r="VLF3" s="33"/>
      <c r="VLK3" s="33"/>
      <c r="VLP3" s="33"/>
      <c r="VLU3" s="33"/>
      <c r="VLZ3" s="33"/>
      <c r="VME3" s="33"/>
      <c r="VMJ3" s="33"/>
      <c r="VMO3" s="33"/>
      <c r="VMT3" s="33"/>
      <c r="VMY3" s="33"/>
      <c r="VND3" s="33"/>
      <c r="VNI3" s="33"/>
      <c r="VNN3" s="33"/>
      <c r="VNS3" s="33"/>
      <c r="VNX3" s="33"/>
      <c r="VOC3" s="33"/>
      <c r="VOH3" s="33"/>
      <c r="VOM3" s="33"/>
      <c r="VOR3" s="33"/>
      <c r="VOW3" s="33"/>
      <c r="VPB3" s="33"/>
      <c r="VPG3" s="33"/>
      <c r="VPL3" s="33"/>
      <c r="VPQ3" s="33"/>
      <c r="VPV3" s="33"/>
      <c r="VQA3" s="33"/>
      <c r="VQF3" s="33"/>
      <c r="VQK3" s="33"/>
      <c r="VQP3" s="33"/>
      <c r="VQU3" s="33"/>
      <c r="VQZ3" s="33"/>
      <c r="VRE3" s="33"/>
      <c r="VRJ3" s="33"/>
      <c r="VRO3" s="33"/>
      <c r="VRT3" s="33"/>
      <c r="VRY3" s="33"/>
      <c r="VSD3" s="33"/>
      <c r="VSI3" s="33"/>
      <c r="VSN3" s="33"/>
      <c r="VSS3" s="33"/>
      <c r="VSX3" s="33"/>
      <c r="VTC3" s="33"/>
      <c r="VTH3" s="33"/>
      <c r="VTM3" s="33"/>
      <c r="VTR3" s="33"/>
      <c r="VTW3" s="33"/>
      <c r="VUB3" s="33"/>
      <c r="VUG3" s="33"/>
      <c r="VUL3" s="33"/>
      <c r="VUQ3" s="33"/>
      <c r="VUV3" s="33"/>
      <c r="VVA3" s="33"/>
      <c r="VVF3" s="33"/>
      <c r="VVK3" s="33"/>
      <c r="VVP3" s="33"/>
      <c r="VVU3" s="33"/>
      <c r="VVZ3" s="33"/>
      <c r="VWE3" s="33"/>
      <c r="VWJ3" s="33"/>
      <c r="VWO3" s="33"/>
      <c r="VWT3" s="33"/>
      <c r="VWY3" s="33"/>
      <c r="VXD3" s="33"/>
      <c r="VXI3" s="33"/>
      <c r="VXN3" s="33"/>
      <c r="VXS3" s="33"/>
      <c r="VXX3" s="33"/>
      <c r="VYC3" s="33"/>
      <c r="VYH3" s="33"/>
      <c r="VYM3" s="33"/>
      <c r="VYR3" s="33"/>
      <c r="VYW3" s="33"/>
      <c r="VZB3" s="33"/>
      <c r="VZG3" s="33"/>
      <c r="VZL3" s="33"/>
      <c r="VZQ3" s="33"/>
      <c r="VZV3" s="33"/>
      <c r="WAA3" s="33"/>
      <c r="WAF3" s="33"/>
      <c r="WAK3" s="33"/>
      <c r="WAP3" s="33"/>
      <c r="WAU3" s="33"/>
      <c r="WAZ3" s="33"/>
      <c r="WBE3" s="33"/>
      <c r="WBJ3" s="33"/>
      <c r="WBO3" s="33"/>
      <c r="WBT3" s="33"/>
      <c r="WBY3" s="33"/>
      <c r="WCD3" s="33"/>
      <c r="WCI3" s="33"/>
      <c r="WCN3" s="33"/>
      <c r="WCS3" s="33"/>
      <c r="WCX3" s="33"/>
      <c r="WDC3" s="33"/>
      <c r="WDH3" s="33"/>
      <c r="WDM3" s="33"/>
      <c r="WDR3" s="33"/>
      <c r="WDW3" s="33"/>
      <c r="WEB3" s="33"/>
      <c r="WEG3" s="33"/>
      <c r="WEL3" s="33"/>
      <c r="WEQ3" s="33"/>
      <c r="WEV3" s="33"/>
      <c r="WFA3" s="33"/>
      <c r="WFF3" s="33"/>
      <c r="WFK3" s="33"/>
      <c r="WFP3" s="33"/>
      <c r="WFU3" s="33"/>
      <c r="WFZ3" s="33"/>
      <c r="WGE3" s="33"/>
      <c r="WGJ3" s="33"/>
      <c r="WGO3" s="33"/>
      <c r="WGT3" s="33"/>
      <c r="WGY3" s="33"/>
      <c r="WHD3" s="33"/>
      <c r="WHI3" s="33"/>
      <c r="WHN3" s="33"/>
      <c r="WHS3" s="33"/>
      <c r="WHX3" s="33"/>
      <c r="WIC3" s="33"/>
      <c r="WIH3" s="33"/>
      <c r="WIM3" s="33"/>
      <c r="WIR3" s="33"/>
      <c r="WIW3" s="33"/>
      <c r="WJB3" s="33"/>
      <c r="WJG3" s="33"/>
      <c r="WJL3" s="33"/>
      <c r="WJQ3" s="33"/>
      <c r="WJV3" s="33"/>
      <c r="WKA3" s="33"/>
      <c r="WKF3" s="33"/>
      <c r="WKK3" s="33"/>
      <c r="WKP3" s="33"/>
      <c r="WKU3" s="33"/>
      <c r="WKZ3" s="33"/>
      <c r="WLE3" s="33"/>
      <c r="WLJ3" s="33"/>
      <c r="WLO3" s="33"/>
      <c r="WLT3" s="33"/>
      <c r="WLY3" s="33"/>
      <c r="WMD3" s="33"/>
      <c r="WMI3" s="33"/>
      <c r="WMN3" s="33"/>
      <c r="WMS3" s="33"/>
      <c r="WMX3" s="33"/>
      <c r="WNC3" s="33"/>
      <c r="WNH3" s="33"/>
      <c r="WNM3" s="33"/>
      <c r="WNR3" s="33"/>
      <c r="WNW3" s="33"/>
      <c r="WOB3" s="33"/>
      <c r="WOG3" s="33"/>
      <c r="WOL3" s="33"/>
      <c r="WOQ3" s="33"/>
      <c r="WOV3" s="33"/>
      <c r="WPA3" s="33"/>
      <c r="WPF3" s="33"/>
      <c r="WPK3" s="33"/>
      <c r="WPP3" s="33"/>
      <c r="WPU3" s="33"/>
      <c r="WPZ3" s="33"/>
      <c r="WQE3" s="33"/>
      <c r="WQJ3" s="33"/>
      <c r="WQO3" s="33"/>
      <c r="WQT3" s="33"/>
      <c r="WQY3" s="33"/>
      <c r="WRD3" s="33"/>
      <c r="WRI3" s="33"/>
      <c r="WRN3" s="33"/>
      <c r="WRS3" s="33"/>
      <c r="WRX3" s="33"/>
      <c r="WSC3" s="33"/>
      <c r="WSH3" s="33"/>
      <c r="WSM3" s="33"/>
      <c r="WSR3" s="33"/>
      <c r="WSW3" s="33"/>
      <c r="WTB3" s="33"/>
      <c r="WTG3" s="33"/>
      <c r="WTL3" s="33"/>
      <c r="WTQ3" s="33"/>
      <c r="WTV3" s="33"/>
      <c r="WUA3" s="33"/>
      <c r="WUF3" s="33"/>
      <c r="WUK3" s="33"/>
      <c r="WUP3" s="33"/>
      <c r="WUU3" s="33"/>
      <c r="WUZ3" s="33"/>
      <c r="WVE3" s="33"/>
      <c r="WVJ3" s="33"/>
      <c r="WVO3" s="33"/>
      <c r="WVT3" s="33"/>
      <c r="WVY3" s="33"/>
      <c r="WWD3" s="33"/>
      <c r="WWI3" s="33"/>
      <c r="WWN3" s="33"/>
      <c r="WWS3" s="33"/>
      <c r="WWX3" s="33"/>
      <c r="WXC3" s="33"/>
      <c r="WXH3" s="33"/>
      <c r="WXM3" s="33"/>
      <c r="WXR3" s="33"/>
      <c r="WXW3" s="33"/>
      <c r="WYB3" s="33"/>
      <c r="WYG3" s="33"/>
      <c r="WYL3" s="33"/>
      <c r="WYQ3" s="33"/>
      <c r="WYV3" s="33"/>
      <c r="WZA3" s="33"/>
      <c r="WZF3" s="33"/>
      <c r="WZK3" s="33"/>
      <c r="WZP3" s="33"/>
      <c r="WZU3" s="33"/>
      <c r="WZZ3" s="33"/>
      <c r="XAE3" s="33"/>
      <c r="XAJ3" s="33"/>
      <c r="XAO3" s="33"/>
      <c r="XAT3" s="33"/>
      <c r="XAY3" s="33"/>
      <c r="XBD3" s="33"/>
      <c r="XBI3" s="33"/>
      <c r="XBN3" s="33"/>
      <c r="XBS3" s="33"/>
      <c r="XBX3" s="33"/>
      <c r="XCC3" s="33"/>
      <c r="XCH3" s="33"/>
      <c r="XCM3" s="33"/>
      <c r="XCR3" s="33"/>
      <c r="XCW3" s="33"/>
      <c r="XDB3" s="33"/>
      <c r="XDG3" s="33"/>
      <c r="XDL3" s="33"/>
      <c r="XDQ3" s="33"/>
      <c r="XDV3" s="33"/>
      <c r="XEA3" s="33"/>
      <c r="XEF3" s="33"/>
      <c r="XEK3" s="33"/>
      <c r="XEP3" s="33"/>
      <c r="XEU3" s="33"/>
      <c r="XEZ3" s="33"/>
    </row>
    <row r="4" spans="1:1020 1025:2045 2050:3070 3075:4095 4100:5120 5125:6140 6145:7165 7170:8190 8195:9215 9220:10240 10245:11260 11265:12285 12290:13310 13315:14335 14340:15360 15365:16380" x14ac:dyDescent="0.3">
      <c r="A4" s="5" t="s">
        <v>8</v>
      </c>
      <c r="B4" s="5" t="s">
        <v>100</v>
      </c>
      <c r="C4" s="5" t="s">
        <v>85</v>
      </c>
      <c r="D4" s="6">
        <v>1</v>
      </c>
      <c r="E4" s="9">
        <v>36000</v>
      </c>
      <c r="F4" s="28">
        <f t="shared" ref="F4:F23" si="0">+E4/12</f>
        <v>3000</v>
      </c>
      <c r="G4" s="7" t="s">
        <v>9</v>
      </c>
      <c r="H4" s="8" t="s">
        <v>9</v>
      </c>
      <c r="I4" s="7">
        <v>12</v>
      </c>
      <c r="J4" s="10">
        <f>+E4*33%</f>
        <v>11880</v>
      </c>
    </row>
    <row r="5" spans="1:1020 1025:2045 2050:3070 3075:4095 4100:5120 5125:6140 6145:7165 7170:8190 8195:9215 9220:10240 10245:11260 11265:12285 12290:13310 13315:14335 14340:15360 15365:16380" x14ac:dyDescent="0.3">
      <c r="A5" s="11" t="s">
        <v>77</v>
      </c>
      <c r="B5" s="5" t="s">
        <v>10</v>
      </c>
      <c r="C5" s="5" t="s">
        <v>85</v>
      </c>
      <c r="D5" s="6">
        <v>5</v>
      </c>
      <c r="E5" s="9">
        <v>30000</v>
      </c>
      <c r="F5" s="28">
        <f t="shared" si="0"/>
        <v>2500</v>
      </c>
      <c r="G5" s="7" t="s">
        <v>9</v>
      </c>
      <c r="H5" s="8" t="s">
        <v>9</v>
      </c>
      <c r="I5" s="7">
        <v>12</v>
      </c>
      <c r="J5" s="10">
        <f t="shared" ref="J5:J23" si="1">+E5*33%</f>
        <v>9900</v>
      </c>
    </row>
    <row r="6" spans="1:1020 1025:2045 2050:3070 3075:4095 4100:5120 5125:6140 6145:7165 7170:8190 8195:9215 9220:10240 10245:11260 11265:12285 12290:13310 13315:14335 14340:15360 15365:16380" x14ac:dyDescent="0.3">
      <c r="A6" s="5" t="s">
        <v>11</v>
      </c>
      <c r="B6" s="5" t="s">
        <v>10</v>
      </c>
      <c r="C6" s="5" t="s">
        <v>85</v>
      </c>
      <c r="D6" s="6">
        <v>5</v>
      </c>
      <c r="E6" s="9">
        <v>26400</v>
      </c>
      <c r="F6" s="28">
        <f t="shared" si="0"/>
        <v>2200</v>
      </c>
      <c r="G6" s="7"/>
      <c r="H6" s="8" t="s">
        <v>9</v>
      </c>
      <c r="I6" s="7">
        <v>12</v>
      </c>
      <c r="J6" s="10">
        <f t="shared" si="1"/>
        <v>8712</v>
      </c>
    </row>
    <row r="7" spans="1:1020 1025:2045 2050:3070 3075:4095 4100:5120 5125:6140 6145:7165 7170:8190 8195:9215 9220:10240 10245:11260 11265:12285 12290:13310 13315:14335 14340:15360 15365:16380" x14ac:dyDescent="0.3">
      <c r="A7" s="5" t="s">
        <v>13</v>
      </c>
      <c r="B7" s="5" t="s">
        <v>10</v>
      </c>
      <c r="C7" s="5" t="s">
        <v>85</v>
      </c>
      <c r="D7" s="6">
        <v>5</v>
      </c>
      <c r="E7" s="9">
        <v>22000</v>
      </c>
      <c r="F7" s="28">
        <f t="shared" si="0"/>
        <v>1833.3333333333333</v>
      </c>
      <c r="G7" s="7"/>
      <c r="H7" s="8" t="s">
        <v>9</v>
      </c>
      <c r="I7" s="7">
        <v>12</v>
      </c>
      <c r="J7" s="10">
        <f t="shared" si="1"/>
        <v>7260</v>
      </c>
    </row>
    <row r="8" spans="1:1020 1025:2045 2050:3070 3075:4095 4100:5120 5125:6140 6145:7165 7170:8190 8195:9215 9220:10240 10245:11260 11265:12285 12290:13310 13315:14335 14340:15360 15365:16380" x14ac:dyDescent="0.3">
      <c r="A8" s="11" t="s">
        <v>70</v>
      </c>
      <c r="B8" s="5" t="s">
        <v>14</v>
      </c>
      <c r="C8" s="5" t="s">
        <v>86</v>
      </c>
      <c r="D8" s="6">
        <v>5</v>
      </c>
      <c r="E8" s="9">
        <v>35000</v>
      </c>
      <c r="F8" s="28">
        <f t="shared" si="0"/>
        <v>2916.6666666666665</v>
      </c>
      <c r="G8" s="7"/>
      <c r="H8" s="8" t="s">
        <v>15</v>
      </c>
      <c r="I8" s="7">
        <v>12</v>
      </c>
      <c r="J8" s="10">
        <f t="shared" si="1"/>
        <v>11550</v>
      </c>
    </row>
    <row r="9" spans="1:1020 1025:2045 2050:3070 3075:4095 4100:5120 5125:6140 6145:7165 7170:8190 8195:9215 9220:10240 10245:11260 11265:12285 12290:13310 13315:14335 14340:15360 15365:16380" x14ac:dyDescent="0.3">
      <c r="A9" s="12" t="s">
        <v>16</v>
      </c>
      <c r="B9" s="5" t="s">
        <v>17</v>
      </c>
      <c r="C9" s="5" t="s">
        <v>86</v>
      </c>
      <c r="D9" s="6">
        <v>7</v>
      </c>
      <c r="E9" s="9">
        <v>19500</v>
      </c>
      <c r="F9" s="28">
        <f t="shared" si="0"/>
        <v>1625</v>
      </c>
      <c r="G9" s="7"/>
      <c r="H9" s="8" t="s">
        <v>15</v>
      </c>
      <c r="I9" s="7">
        <v>12</v>
      </c>
      <c r="J9" s="10">
        <f t="shared" si="1"/>
        <v>6435</v>
      </c>
    </row>
    <row r="10" spans="1:1020 1025:2045 2050:3070 3075:4095 4100:5120 5125:6140 6145:7165 7170:8190 8195:9215 9220:10240 10245:11260 11265:12285 12290:13310 13315:14335 14340:15360 15365:16380" x14ac:dyDescent="0.3">
      <c r="A10" s="5" t="s">
        <v>18</v>
      </c>
      <c r="B10" s="5" t="s">
        <v>17</v>
      </c>
      <c r="C10" s="5" t="s">
        <v>87</v>
      </c>
      <c r="D10" s="6">
        <v>7</v>
      </c>
      <c r="E10" s="9">
        <v>20000</v>
      </c>
      <c r="F10" s="28">
        <f t="shared" si="0"/>
        <v>1666.6666666666667</v>
      </c>
      <c r="G10" s="7"/>
      <c r="H10" s="8" t="s">
        <v>19</v>
      </c>
      <c r="I10" s="7">
        <v>12</v>
      </c>
      <c r="J10" s="10">
        <f t="shared" si="1"/>
        <v>6600</v>
      </c>
    </row>
    <row r="11" spans="1:1020 1025:2045 2050:3070 3075:4095 4100:5120 5125:6140 6145:7165 7170:8190 8195:9215 9220:10240 10245:11260 11265:12285 12290:13310 13315:14335 14340:15360 15365:16380" x14ac:dyDescent="0.3">
      <c r="A11" s="5" t="s">
        <v>20</v>
      </c>
      <c r="B11" s="5" t="s">
        <v>22</v>
      </c>
      <c r="C11" s="5" t="s">
        <v>87</v>
      </c>
      <c r="D11" s="6">
        <v>3</v>
      </c>
      <c r="E11" s="9">
        <v>22000</v>
      </c>
      <c r="F11" s="28">
        <f t="shared" si="0"/>
        <v>1833.3333333333333</v>
      </c>
      <c r="G11" s="7"/>
      <c r="H11" s="7" t="s">
        <v>19</v>
      </c>
      <c r="I11" s="7">
        <v>12</v>
      </c>
      <c r="J11" s="10">
        <f t="shared" si="1"/>
        <v>7260</v>
      </c>
    </row>
    <row r="12" spans="1:1020 1025:2045 2050:3070 3075:4095 4100:5120 5125:6140 6145:7165 7170:8190 8195:9215 9220:10240 10245:11260 11265:12285 12290:13310 13315:14335 14340:15360 15365:16380" x14ac:dyDescent="0.3">
      <c r="A12" s="5" t="s">
        <v>21</v>
      </c>
      <c r="B12" s="13" t="s">
        <v>22</v>
      </c>
      <c r="C12" s="5" t="s">
        <v>23</v>
      </c>
      <c r="D12" s="6">
        <v>3</v>
      </c>
      <c r="E12" s="9">
        <v>30000</v>
      </c>
      <c r="F12" s="28">
        <f t="shared" si="0"/>
        <v>2500</v>
      </c>
      <c r="G12" s="7"/>
      <c r="H12" s="7" t="s">
        <v>66</v>
      </c>
      <c r="I12" s="7">
        <v>12</v>
      </c>
      <c r="J12" s="10">
        <f t="shared" si="1"/>
        <v>9900</v>
      </c>
    </row>
    <row r="13" spans="1:1020 1025:2045 2050:3070 3075:4095 4100:5120 5125:6140 6145:7165 7170:8190 8195:9215 9220:10240 10245:11260 11265:12285 12290:13310 13315:14335 14340:15360 15365:16380" x14ac:dyDescent="0.3">
      <c r="A13" s="5" t="s">
        <v>25</v>
      </c>
      <c r="B13" s="5" t="s">
        <v>26</v>
      </c>
      <c r="C13" s="5" t="s">
        <v>27</v>
      </c>
      <c r="D13" s="6">
        <v>7</v>
      </c>
      <c r="E13" s="9">
        <v>22000</v>
      </c>
      <c r="F13" s="28">
        <f t="shared" si="0"/>
        <v>1833.3333333333333</v>
      </c>
      <c r="G13" s="7"/>
      <c r="H13" s="8" t="s">
        <v>19</v>
      </c>
      <c r="I13" s="7">
        <v>12</v>
      </c>
      <c r="J13" s="10">
        <f t="shared" si="1"/>
        <v>7260</v>
      </c>
    </row>
    <row r="14" spans="1:1020 1025:2045 2050:3070 3075:4095 4100:5120 5125:6140 6145:7165 7170:8190 8195:9215 9220:10240 10245:11260 11265:12285 12290:13310 13315:14335 14340:15360 15365:16380" x14ac:dyDescent="0.3">
      <c r="A14" s="5" t="s">
        <v>80</v>
      </c>
      <c r="B14" s="5" t="s">
        <v>81</v>
      </c>
      <c r="C14" s="5" t="s">
        <v>82</v>
      </c>
      <c r="D14" s="6">
        <v>7</v>
      </c>
      <c r="E14" s="9">
        <v>22000</v>
      </c>
      <c r="F14" s="28">
        <f t="shared" si="0"/>
        <v>1833.3333333333333</v>
      </c>
      <c r="G14" s="7"/>
      <c r="H14" s="7" t="s">
        <v>91</v>
      </c>
      <c r="I14" s="7">
        <v>12</v>
      </c>
      <c r="J14" s="10">
        <f t="shared" si="1"/>
        <v>7260</v>
      </c>
    </row>
    <row r="15" spans="1:1020 1025:2045 2050:3070 3075:4095 4100:5120 5125:6140 6145:7165 7170:8190 8195:9215 9220:10240 10245:11260 11265:12285 12290:13310 13315:14335 14340:15360 15365:16380" x14ac:dyDescent="0.3">
      <c r="A15" s="5" t="s">
        <v>28</v>
      </c>
      <c r="B15" s="5" t="s">
        <v>22</v>
      </c>
      <c r="C15" s="5" t="s">
        <v>29</v>
      </c>
      <c r="D15" s="6">
        <v>3</v>
      </c>
      <c r="E15" s="9">
        <v>26000</v>
      </c>
      <c r="F15" s="28">
        <f t="shared" si="0"/>
        <v>2166.6666666666665</v>
      </c>
      <c r="G15" s="7"/>
      <c r="H15" s="7" t="s">
        <v>66</v>
      </c>
      <c r="I15" s="7">
        <v>12</v>
      </c>
      <c r="J15" s="10">
        <f t="shared" si="1"/>
        <v>8580</v>
      </c>
    </row>
    <row r="16" spans="1:1020 1025:2045 2050:3070 3075:4095 4100:5120 5125:6140 6145:7165 7170:8190 8195:9215 9220:10240 10245:11260 11265:12285 12290:13310 13315:14335 14340:15360 15365:16380" x14ac:dyDescent="0.3">
      <c r="A16" s="5" t="s">
        <v>30</v>
      </c>
      <c r="B16" s="5" t="s">
        <v>12</v>
      </c>
      <c r="C16" s="5" t="s">
        <v>31</v>
      </c>
      <c r="D16" s="6">
        <v>5</v>
      </c>
      <c r="E16" s="9">
        <v>22000</v>
      </c>
      <c r="F16" s="28">
        <f t="shared" si="0"/>
        <v>1833.3333333333333</v>
      </c>
      <c r="G16" s="7"/>
      <c r="H16" s="7" t="s">
        <v>15</v>
      </c>
      <c r="I16" s="7">
        <v>12</v>
      </c>
      <c r="J16" s="10">
        <f t="shared" si="1"/>
        <v>7260</v>
      </c>
    </row>
    <row r="17" spans="1:10" x14ac:dyDescent="0.3">
      <c r="A17" s="5" t="s">
        <v>32</v>
      </c>
      <c r="B17" s="5" t="s">
        <v>26</v>
      </c>
      <c r="C17" s="5" t="s">
        <v>33</v>
      </c>
      <c r="D17" s="6">
        <v>7</v>
      </c>
      <c r="E17" s="9">
        <v>20000</v>
      </c>
      <c r="F17" s="28">
        <f t="shared" si="0"/>
        <v>1666.6666666666667</v>
      </c>
      <c r="G17" s="7"/>
      <c r="H17" s="7" t="s">
        <v>15</v>
      </c>
      <c r="I17" s="7">
        <v>12</v>
      </c>
      <c r="J17" s="10">
        <f t="shared" si="1"/>
        <v>6600</v>
      </c>
    </row>
    <row r="18" spans="1:10" x14ac:dyDescent="0.3">
      <c r="A18" s="5" t="s">
        <v>76</v>
      </c>
      <c r="B18" s="5" t="s">
        <v>26</v>
      </c>
      <c r="C18" s="5" t="s">
        <v>34</v>
      </c>
      <c r="D18" s="6">
        <v>7</v>
      </c>
      <c r="E18" s="9">
        <v>19500</v>
      </c>
      <c r="F18" s="28">
        <f t="shared" si="0"/>
        <v>1625</v>
      </c>
      <c r="G18" s="7"/>
      <c r="H18" s="7" t="s">
        <v>15</v>
      </c>
      <c r="I18" s="7">
        <v>12</v>
      </c>
      <c r="J18" s="10">
        <f t="shared" si="1"/>
        <v>6435</v>
      </c>
    </row>
    <row r="19" spans="1:10" x14ac:dyDescent="0.3">
      <c r="A19" s="5" t="s">
        <v>35</v>
      </c>
      <c r="B19" s="5" t="s">
        <v>26</v>
      </c>
      <c r="C19" s="5" t="s">
        <v>34</v>
      </c>
      <c r="D19" s="6">
        <v>7</v>
      </c>
      <c r="E19" s="9">
        <v>19500</v>
      </c>
      <c r="F19" s="28">
        <f t="shared" si="0"/>
        <v>1625</v>
      </c>
      <c r="G19" s="7"/>
      <c r="H19" s="7" t="s">
        <v>15</v>
      </c>
      <c r="I19" s="7">
        <v>12</v>
      </c>
      <c r="J19" s="10">
        <f t="shared" si="1"/>
        <v>6435</v>
      </c>
    </row>
    <row r="20" spans="1:10" x14ac:dyDescent="0.3">
      <c r="A20" s="5" t="s">
        <v>36</v>
      </c>
      <c r="B20" s="5" t="s">
        <v>26</v>
      </c>
      <c r="C20" s="5" t="s">
        <v>37</v>
      </c>
      <c r="D20" s="6">
        <v>7</v>
      </c>
      <c r="E20" s="9">
        <v>19500</v>
      </c>
      <c r="F20" s="28">
        <f t="shared" si="0"/>
        <v>1625</v>
      </c>
      <c r="G20" s="7"/>
      <c r="H20" s="7" t="s">
        <v>15</v>
      </c>
      <c r="I20" s="7">
        <v>12</v>
      </c>
      <c r="J20" s="10">
        <f t="shared" si="1"/>
        <v>6435</v>
      </c>
    </row>
    <row r="21" spans="1:10" x14ac:dyDescent="0.3">
      <c r="A21" s="5" t="s">
        <v>67</v>
      </c>
      <c r="B21" s="5" t="s">
        <v>26</v>
      </c>
      <c r="C21" s="5" t="s">
        <v>38</v>
      </c>
      <c r="D21" s="6">
        <v>7</v>
      </c>
      <c r="E21" s="9">
        <v>19500</v>
      </c>
      <c r="F21" s="28">
        <f t="shared" si="0"/>
        <v>1625</v>
      </c>
      <c r="G21" s="7"/>
      <c r="H21" s="7" t="s">
        <v>19</v>
      </c>
      <c r="I21" s="7">
        <v>12</v>
      </c>
      <c r="J21" s="10">
        <f t="shared" si="1"/>
        <v>6435</v>
      </c>
    </row>
    <row r="22" spans="1:10" x14ac:dyDescent="0.3">
      <c r="A22" s="14" t="s">
        <v>39</v>
      </c>
      <c r="B22" s="5" t="s">
        <v>26</v>
      </c>
      <c r="C22" s="5" t="s">
        <v>38</v>
      </c>
      <c r="D22" s="6">
        <v>7</v>
      </c>
      <c r="E22" s="9">
        <v>19500</v>
      </c>
      <c r="F22" s="28">
        <f t="shared" si="0"/>
        <v>1625</v>
      </c>
      <c r="G22" s="7"/>
      <c r="H22" s="7" t="s">
        <v>19</v>
      </c>
      <c r="I22" s="7">
        <v>12</v>
      </c>
      <c r="J22" s="10">
        <f t="shared" si="1"/>
        <v>6435</v>
      </c>
    </row>
    <row r="23" spans="1:10" x14ac:dyDescent="0.3">
      <c r="A23" s="5" t="s">
        <v>40</v>
      </c>
      <c r="B23" s="5" t="s">
        <v>26</v>
      </c>
      <c r="C23" s="5" t="s">
        <v>38</v>
      </c>
      <c r="D23" s="6">
        <v>7</v>
      </c>
      <c r="E23" s="9">
        <v>19500</v>
      </c>
      <c r="F23" s="28">
        <f t="shared" si="0"/>
        <v>1625</v>
      </c>
      <c r="G23" s="7"/>
      <c r="H23" s="7" t="s">
        <v>19</v>
      </c>
      <c r="I23" s="7">
        <v>12</v>
      </c>
      <c r="J23" s="10">
        <f t="shared" si="1"/>
        <v>6435</v>
      </c>
    </row>
    <row r="24" spans="1:10" s="17" customFormat="1" x14ac:dyDescent="0.3">
      <c r="D24" s="20"/>
      <c r="F24" s="29"/>
    </row>
    <row r="25" spans="1:10" x14ac:dyDescent="0.3">
      <c r="A25" s="40" t="s">
        <v>41</v>
      </c>
      <c r="B25" s="40"/>
      <c r="C25" s="40"/>
      <c r="D25" s="40"/>
      <c r="E25" s="40" t="s">
        <v>90</v>
      </c>
      <c r="F25" s="40"/>
      <c r="G25" s="40"/>
      <c r="H25" s="40"/>
      <c r="I25" s="40"/>
      <c r="J25" s="40"/>
    </row>
    <row r="26" spans="1:10" x14ac:dyDescent="0.3">
      <c r="A26" s="32" t="s">
        <v>1</v>
      </c>
      <c r="B26" s="32" t="s">
        <v>2</v>
      </c>
      <c r="C26" s="32" t="s">
        <v>84</v>
      </c>
      <c r="D26" s="32" t="s">
        <v>3</v>
      </c>
      <c r="E26" s="33" t="s">
        <v>7</v>
      </c>
      <c r="F26" s="32" t="s">
        <v>68</v>
      </c>
      <c r="G26" s="32" t="s">
        <v>5</v>
      </c>
      <c r="H26" s="32" t="s">
        <v>72</v>
      </c>
      <c r="I26" s="32" t="s">
        <v>69</v>
      </c>
      <c r="J26" s="33" t="s">
        <v>95</v>
      </c>
    </row>
    <row r="27" spans="1:10" x14ac:dyDescent="0.3">
      <c r="A27" s="5" t="s">
        <v>42</v>
      </c>
      <c r="B27" s="5" t="s">
        <v>43</v>
      </c>
      <c r="C27" s="5" t="s">
        <v>44</v>
      </c>
      <c r="D27" s="6">
        <v>1</v>
      </c>
      <c r="E27" s="9">
        <v>37500</v>
      </c>
      <c r="F27" s="28">
        <f t="shared" ref="F27:F34" si="2">+E27/12</f>
        <v>3125</v>
      </c>
      <c r="G27" s="7" t="s">
        <v>24</v>
      </c>
      <c r="H27" s="7" t="s">
        <v>92</v>
      </c>
      <c r="I27" s="7">
        <v>12</v>
      </c>
      <c r="J27" s="10">
        <f>+E27*37.35%</f>
        <v>14006.25</v>
      </c>
    </row>
    <row r="28" spans="1:10" x14ac:dyDescent="0.3">
      <c r="A28" s="5" t="s">
        <v>45</v>
      </c>
      <c r="B28" s="5" t="s">
        <v>43</v>
      </c>
      <c r="C28" s="5" t="s">
        <v>44</v>
      </c>
      <c r="D28" s="6">
        <v>3</v>
      </c>
      <c r="E28" s="9">
        <v>32119.85</v>
      </c>
      <c r="F28" s="28">
        <f t="shared" si="2"/>
        <v>2676.6541666666667</v>
      </c>
      <c r="G28" s="7" t="s">
        <v>15</v>
      </c>
      <c r="H28" s="7" t="s">
        <v>92</v>
      </c>
      <c r="I28" s="7">
        <v>12</v>
      </c>
      <c r="J28" s="10">
        <f t="shared" ref="J28:J29" si="3">+E28*37.35%</f>
        <v>11996.763975</v>
      </c>
    </row>
    <row r="29" spans="1:10" x14ac:dyDescent="0.3">
      <c r="A29" s="5" t="s">
        <v>93</v>
      </c>
      <c r="B29" s="5" t="s">
        <v>46</v>
      </c>
      <c r="C29" s="5" t="s">
        <v>47</v>
      </c>
      <c r="D29" s="6">
        <v>7</v>
      </c>
      <c r="E29" s="9">
        <v>27500</v>
      </c>
      <c r="F29" s="28">
        <f t="shared" si="2"/>
        <v>2291.6666666666665</v>
      </c>
      <c r="G29" s="7" t="s">
        <v>15</v>
      </c>
      <c r="H29" s="7" t="s">
        <v>92</v>
      </c>
      <c r="I29" s="7">
        <v>12</v>
      </c>
      <c r="J29" s="10">
        <f t="shared" si="3"/>
        <v>10271.25</v>
      </c>
    </row>
    <row r="30" spans="1:10" x14ac:dyDescent="0.3">
      <c r="A30" s="5" t="s">
        <v>48</v>
      </c>
      <c r="B30" s="5" t="s">
        <v>46</v>
      </c>
      <c r="C30" s="5" t="s">
        <v>49</v>
      </c>
      <c r="D30" s="6">
        <v>7</v>
      </c>
      <c r="E30" s="9">
        <v>22000</v>
      </c>
      <c r="F30" s="28">
        <f t="shared" si="2"/>
        <v>1833.3333333333333</v>
      </c>
      <c r="G30" s="7" t="s">
        <v>15</v>
      </c>
      <c r="H30" s="7" t="s">
        <v>92</v>
      </c>
      <c r="I30" s="7">
        <v>12</v>
      </c>
      <c r="J30" s="10">
        <f>+E30*33.79%</f>
        <v>7433.7999999999993</v>
      </c>
    </row>
    <row r="31" spans="1:10" x14ac:dyDescent="0.3">
      <c r="A31" s="5" t="s">
        <v>94</v>
      </c>
      <c r="B31" s="5" t="s">
        <v>12</v>
      </c>
      <c r="C31" s="5" t="s">
        <v>49</v>
      </c>
      <c r="D31" s="6">
        <v>5</v>
      </c>
      <c r="E31" s="9">
        <v>20000</v>
      </c>
      <c r="F31" s="28">
        <f t="shared" si="2"/>
        <v>1666.6666666666667</v>
      </c>
      <c r="G31" s="7" t="s">
        <v>15</v>
      </c>
      <c r="H31" s="7" t="s">
        <v>92</v>
      </c>
      <c r="I31" s="7">
        <v>12</v>
      </c>
      <c r="J31" s="10">
        <f>+E31*33.79%</f>
        <v>6758</v>
      </c>
    </row>
    <row r="32" spans="1:10" x14ac:dyDescent="0.3">
      <c r="A32" s="5" t="s">
        <v>50</v>
      </c>
      <c r="B32" s="5" t="s">
        <v>51</v>
      </c>
      <c r="C32" s="5" t="s">
        <v>52</v>
      </c>
      <c r="D32" s="6">
        <v>8</v>
      </c>
      <c r="E32" s="9">
        <v>24000</v>
      </c>
      <c r="F32" s="28">
        <f t="shared" si="2"/>
        <v>2000</v>
      </c>
      <c r="G32" s="7" t="s">
        <v>9</v>
      </c>
      <c r="H32" s="7" t="s">
        <v>78</v>
      </c>
      <c r="I32" s="7">
        <v>12</v>
      </c>
      <c r="J32" s="10">
        <f>+E32*37.35%</f>
        <v>8964</v>
      </c>
    </row>
    <row r="33" spans="1:11" x14ac:dyDescent="0.3">
      <c r="A33" s="11" t="s">
        <v>53</v>
      </c>
      <c r="B33" s="5" t="s">
        <v>51</v>
      </c>
      <c r="C33" s="5" t="s">
        <v>52</v>
      </c>
      <c r="D33" s="6">
        <v>8</v>
      </c>
      <c r="E33" s="9">
        <v>23000</v>
      </c>
      <c r="F33" s="28">
        <f t="shared" si="2"/>
        <v>1916.6666666666667</v>
      </c>
      <c r="G33" s="7" t="s">
        <v>9</v>
      </c>
      <c r="H33" s="7" t="s">
        <v>78</v>
      </c>
      <c r="I33" s="7">
        <v>12</v>
      </c>
      <c r="J33" s="10">
        <f t="shared" ref="J33:J34" si="4">+E33*37.35%</f>
        <v>8590.5</v>
      </c>
    </row>
    <row r="34" spans="1:11" x14ac:dyDescent="0.3">
      <c r="A34" s="11" t="s">
        <v>73</v>
      </c>
      <c r="B34" s="5" t="s">
        <v>54</v>
      </c>
      <c r="C34" s="5" t="s">
        <v>52</v>
      </c>
      <c r="D34" s="6">
        <v>8</v>
      </c>
      <c r="E34" s="9">
        <v>22500</v>
      </c>
      <c r="F34" s="28">
        <f t="shared" si="2"/>
        <v>1875</v>
      </c>
      <c r="G34" s="7"/>
      <c r="H34" s="7" t="s">
        <v>78</v>
      </c>
      <c r="I34" s="7">
        <v>12</v>
      </c>
      <c r="J34" s="10">
        <f t="shared" si="4"/>
        <v>8403.75</v>
      </c>
    </row>
    <row r="35" spans="1:11" s="17" customFormat="1" x14ac:dyDescent="0.3">
      <c r="D35" s="20"/>
      <c r="F35" s="29"/>
    </row>
    <row r="36" spans="1:11" x14ac:dyDescent="0.3">
      <c r="A36" s="40" t="s">
        <v>55</v>
      </c>
      <c r="B36" s="40"/>
      <c r="C36" s="40"/>
      <c r="D36" s="40"/>
      <c r="E36" s="40" t="s">
        <v>90</v>
      </c>
      <c r="F36" s="40"/>
      <c r="G36" s="40"/>
      <c r="H36" s="40"/>
      <c r="I36" s="40"/>
      <c r="J36" s="40"/>
    </row>
    <row r="37" spans="1:11" ht="12.6" customHeight="1" x14ac:dyDescent="0.3">
      <c r="A37" s="32" t="s">
        <v>1</v>
      </c>
      <c r="B37" s="32" t="s">
        <v>2</v>
      </c>
      <c r="C37" s="32" t="s">
        <v>84</v>
      </c>
      <c r="D37" s="32" t="s">
        <v>3</v>
      </c>
      <c r="E37" s="33" t="s">
        <v>7</v>
      </c>
      <c r="F37" s="32" t="s">
        <v>68</v>
      </c>
      <c r="G37" s="32" t="s">
        <v>5</v>
      </c>
      <c r="H37" s="32" t="s">
        <v>74</v>
      </c>
      <c r="I37" s="32" t="s">
        <v>69</v>
      </c>
      <c r="J37" s="33" t="s">
        <v>95</v>
      </c>
    </row>
    <row r="38" spans="1:11" x14ac:dyDescent="0.3">
      <c r="A38" s="5" t="s">
        <v>56</v>
      </c>
      <c r="B38" s="5" t="s">
        <v>57</v>
      </c>
      <c r="C38" s="5" t="s">
        <v>89</v>
      </c>
      <c r="D38" s="6">
        <v>1</v>
      </c>
      <c r="E38" s="16">
        <v>30000</v>
      </c>
      <c r="F38" s="28">
        <f>+(E38+H38)/12</f>
        <v>6000</v>
      </c>
      <c r="G38" s="7" t="s">
        <v>9</v>
      </c>
      <c r="H38" s="7">
        <v>42000</v>
      </c>
      <c r="I38" s="6">
        <v>12</v>
      </c>
      <c r="J38" s="15">
        <f>61214.4*32.3%</f>
        <v>19772.251199999999</v>
      </c>
    </row>
    <row r="39" spans="1:11" s="17" customFormat="1" x14ac:dyDescent="0.3">
      <c r="D39" s="20"/>
      <c r="E39" s="21"/>
      <c r="F39" s="29"/>
      <c r="G39" s="21"/>
      <c r="H39" s="21"/>
      <c r="I39" s="19"/>
      <c r="J39" s="22"/>
    </row>
    <row r="40" spans="1:11" x14ac:dyDescent="0.3">
      <c r="A40" s="40" t="s">
        <v>58</v>
      </c>
      <c r="B40" s="40"/>
      <c r="C40" s="40"/>
      <c r="D40" s="40"/>
      <c r="E40" s="40" t="s">
        <v>90</v>
      </c>
      <c r="F40" s="40"/>
      <c r="G40" s="40"/>
      <c r="H40" s="40"/>
      <c r="I40" s="40"/>
      <c r="J40" s="40"/>
    </row>
    <row r="41" spans="1:11" x14ac:dyDescent="0.3">
      <c r="A41" s="2" t="s">
        <v>1</v>
      </c>
      <c r="B41" s="2" t="s">
        <v>2</v>
      </c>
      <c r="C41" s="2" t="s">
        <v>84</v>
      </c>
      <c r="D41" s="1" t="s">
        <v>3</v>
      </c>
      <c r="E41" s="4" t="s">
        <v>7</v>
      </c>
      <c r="F41" s="27" t="s">
        <v>65</v>
      </c>
      <c r="G41" s="3" t="s">
        <v>5</v>
      </c>
      <c r="H41" s="3" t="s">
        <v>72</v>
      </c>
      <c r="I41" s="32" t="s">
        <v>69</v>
      </c>
      <c r="J41" s="33" t="s">
        <v>95</v>
      </c>
    </row>
    <row r="42" spans="1:11" s="17" customFormat="1" x14ac:dyDescent="0.3">
      <c r="A42" s="23" t="s">
        <v>88</v>
      </c>
      <c r="B42" s="23" t="s">
        <v>83</v>
      </c>
      <c r="C42" s="23" t="s">
        <v>89</v>
      </c>
      <c r="D42" s="31">
        <v>1</v>
      </c>
      <c r="E42" s="25">
        <v>100000</v>
      </c>
      <c r="F42" s="26">
        <f>+E42/I42</f>
        <v>8333.3333333333339</v>
      </c>
      <c r="G42" s="8"/>
      <c r="H42" s="8" t="s">
        <v>71</v>
      </c>
      <c r="I42" s="7">
        <v>12</v>
      </c>
      <c r="J42" s="15">
        <f>61214.4*32.3%</f>
        <v>19772.251199999999</v>
      </c>
    </row>
    <row r="43" spans="1:11" x14ac:dyDescent="0.3">
      <c r="A43" s="5" t="s">
        <v>59</v>
      </c>
      <c r="B43" s="5" t="s">
        <v>100</v>
      </c>
      <c r="C43" s="5" t="s">
        <v>37</v>
      </c>
      <c r="D43" s="6">
        <v>1</v>
      </c>
      <c r="E43" s="9">
        <v>48000</v>
      </c>
      <c r="F43" s="28">
        <f>+E43/12</f>
        <v>4000</v>
      </c>
      <c r="G43" s="8" t="s">
        <v>15</v>
      </c>
      <c r="H43" s="7" t="s">
        <v>71</v>
      </c>
      <c r="I43" s="7">
        <v>12</v>
      </c>
      <c r="J43" s="15">
        <f>+E43*33%</f>
        <v>15840</v>
      </c>
    </row>
    <row r="44" spans="1:11" x14ac:dyDescent="0.3">
      <c r="A44" s="5" t="s">
        <v>60</v>
      </c>
      <c r="B44" s="5" t="s">
        <v>98</v>
      </c>
      <c r="C44" s="5" t="s">
        <v>37</v>
      </c>
      <c r="D44" s="6">
        <v>3</v>
      </c>
      <c r="E44" s="9">
        <v>28000</v>
      </c>
      <c r="F44" s="28">
        <f>+E44/12</f>
        <v>2333.3333333333335</v>
      </c>
      <c r="G44" s="8" t="s">
        <v>15</v>
      </c>
      <c r="H44" s="7" t="s">
        <v>15</v>
      </c>
      <c r="I44" s="7">
        <v>12</v>
      </c>
      <c r="J44" s="15">
        <f t="shared" ref="J44:J48" si="5">+E44*33%</f>
        <v>9240</v>
      </c>
    </row>
    <row r="45" spans="1:11" x14ac:dyDescent="0.3">
      <c r="A45" s="5" t="s">
        <v>61</v>
      </c>
      <c r="B45" s="5" t="s">
        <v>26</v>
      </c>
      <c r="C45" s="5" t="s">
        <v>37</v>
      </c>
      <c r="D45" s="6">
        <v>7</v>
      </c>
      <c r="E45" s="9">
        <v>20000</v>
      </c>
      <c r="F45" s="28">
        <f>+E45/12</f>
        <v>1666.6666666666667</v>
      </c>
      <c r="G45" s="8" t="s">
        <v>15</v>
      </c>
      <c r="H45" s="7" t="s">
        <v>15</v>
      </c>
      <c r="I45" s="7">
        <v>12</v>
      </c>
      <c r="J45" s="15">
        <f t="shared" si="5"/>
        <v>6600</v>
      </c>
    </row>
    <row r="46" spans="1:11" x14ac:dyDescent="0.3">
      <c r="A46" s="5" t="s">
        <v>97</v>
      </c>
      <c r="B46" s="5" t="s">
        <v>22</v>
      </c>
      <c r="C46" s="5" t="s">
        <v>37</v>
      </c>
      <c r="D46" s="6">
        <v>3</v>
      </c>
      <c r="E46" s="9">
        <v>26500</v>
      </c>
      <c r="F46" s="28">
        <f t="shared" ref="F46:F47" si="6">+E46/12</f>
        <v>2208.3333333333335</v>
      </c>
      <c r="G46" s="8"/>
      <c r="H46" s="7" t="s">
        <v>15</v>
      </c>
      <c r="I46" s="7">
        <v>12</v>
      </c>
      <c r="J46" s="15">
        <f>+E46*33%</f>
        <v>8745</v>
      </c>
      <c r="K46" s="39" t="s">
        <v>96</v>
      </c>
    </row>
    <row r="47" spans="1:11" x14ac:dyDescent="0.3">
      <c r="A47" s="5" t="s">
        <v>62</v>
      </c>
      <c r="B47" s="5" t="s">
        <v>99</v>
      </c>
      <c r="C47" s="5" t="s">
        <v>63</v>
      </c>
      <c r="D47" s="6">
        <v>1</v>
      </c>
      <c r="E47" s="9">
        <v>48000</v>
      </c>
      <c r="F47" s="28">
        <f t="shared" si="6"/>
        <v>4000</v>
      </c>
      <c r="G47" s="8" t="s">
        <v>15</v>
      </c>
      <c r="H47" s="7" t="s">
        <v>71</v>
      </c>
      <c r="I47" s="7">
        <v>12</v>
      </c>
      <c r="J47" s="15">
        <f t="shared" si="5"/>
        <v>15840</v>
      </c>
    </row>
    <row r="48" spans="1:11" x14ac:dyDescent="0.3">
      <c r="A48" s="5" t="s">
        <v>79</v>
      </c>
      <c r="B48" s="5" t="s">
        <v>81</v>
      </c>
      <c r="C48" s="5" t="s">
        <v>64</v>
      </c>
      <c r="D48" s="6">
        <v>5</v>
      </c>
      <c r="E48" s="9">
        <v>22000</v>
      </c>
      <c r="F48" s="28">
        <f>+E48/12</f>
        <v>1833.3333333333333</v>
      </c>
      <c r="G48" s="7" t="s">
        <v>15</v>
      </c>
      <c r="H48" s="7" t="s">
        <v>9</v>
      </c>
      <c r="I48" s="7">
        <v>12</v>
      </c>
      <c r="J48" s="15">
        <f t="shared" si="5"/>
        <v>7260</v>
      </c>
    </row>
    <row r="49" spans="2:6" s="17" customFormat="1" x14ac:dyDescent="0.3">
      <c r="D49" s="20"/>
      <c r="E49"/>
      <c r="F49" s="29"/>
    </row>
    <row r="50" spans="2:6" s="17" customFormat="1" x14ac:dyDescent="0.3">
      <c r="D50" s="20"/>
      <c r="F50" s="29"/>
    </row>
    <row r="51" spans="2:6" s="17" customFormat="1" x14ac:dyDescent="0.3">
      <c r="B51" s="40" t="s">
        <v>75</v>
      </c>
      <c r="C51" s="40"/>
      <c r="D51" s="20"/>
      <c r="F51" s="29"/>
    </row>
    <row r="52" spans="2:6" s="17" customFormat="1" x14ac:dyDescent="0.3">
      <c r="B52" s="23">
        <v>1</v>
      </c>
      <c r="C52" s="24">
        <v>19500</v>
      </c>
      <c r="D52" s="20"/>
      <c r="F52" s="29"/>
    </row>
    <row r="53" spans="2:6" s="17" customFormat="1" x14ac:dyDescent="0.3">
      <c r="B53" s="23">
        <f>+B52+1</f>
        <v>2</v>
      </c>
      <c r="C53" s="24">
        <v>20000</v>
      </c>
      <c r="D53" s="20"/>
      <c r="F53" s="29"/>
    </row>
    <row r="54" spans="2:6" s="17" customFormat="1" x14ac:dyDescent="0.3">
      <c r="B54" s="23">
        <f t="shared" ref="B54:B55" si="7">+B53+1</f>
        <v>3</v>
      </c>
      <c r="C54" s="24">
        <v>22000</v>
      </c>
      <c r="D54" s="20"/>
      <c r="F54" s="29"/>
    </row>
    <row r="55" spans="2:6" s="17" customFormat="1" x14ac:dyDescent="0.3">
      <c r="B55" s="23">
        <f t="shared" si="7"/>
        <v>4</v>
      </c>
      <c r="C55" s="24">
        <v>24000</v>
      </c>
      <c r="D55" s="20"/>
      <c r="F55" s="29"/>
    </row>
    <row r="56" spans="2:6" s="17" customFormat="1" x14ac:dyDescent="0.3">
      <c r="B56" s="23">
        <v>5</v>
      </c>
      <c r="C56" s="24">
        <v>26000</v>
      </c>
      <c r="D56" s="20"/>
      <c r="F56" s="29"/>
    </row>
    <row r="57" spans="2:6" s="17" customFormat="1" x14ac:dyDescent="0.3">
      <c r="B57" s="23">
        <v>6</v>
      </c>
      <c r="C57" s="24">
        <v>30000</v>
      </c>
      <c r="D57" s="20"/>
      <c r="F57" s="29"/>
    </row>
    <row r="58" spans="2:6" s="17" customFormat="1" x14ac:dyDescent="0.3">
      <c r="B58" s="23">
        <v>7</v>
      </c>
      <c r="C58" s="24">
        <v>35000</v>
      </c>
      <c r="D58" s="20"/>
      <c r="F58" s="29"/>
    </row>
    <row r="59" spans="2:6" s="17" customFormat="1" x14ac:dyDescent="0.3">
      <c r="B59" s="23">
        <v>8</v>
      </c>
      <c r="C59" s="24">
        <v>48000</v>
      </c>
      <c r="D59" s="20"/>
      <c r="F59" s="29"/>
    </row>
    <row r="60" spans="2:6" s="17" customFormat="1" x14ac:dyDescent="0.3">
      <c r="D60" s="20"/>
      <c r="F60" s="29"/>
    </row>
    <row r="61" spans="2:6" s="17" customFormat="1" x14ac:dyDescent="0.3">
      <c r="D61" s="20"/>
      <c r="F61" s="29"/>
    </row>
    <row r="62" spans="2:6" s="17" customFormat="1" x14ac:dyDescent="0.3">
      <c r="D62" s="20"/>
      <c r="F62" s="29"/>
    </row>
    <row r="63" spans="2:6" s="17" customFormat="1" x14ac:dyDescent="0.3">
      <c r="D63" s="20"/>
      <c r="F63" s="29"/>
    </row>
    <row r="64" spans="2:6" s="17" customFormat="1" x14ac:dyDescent="0.3">
      <c r="D64" s="20"/>
      <c r="F64" s="29"/>
    </row>
  </sheetData>
  <mergeCells count="9">
    <mergeCell ref="E2:J2"/>
    <mergeCell ref="E25:J25"/>
    <mergeCell ref="E36:J36"/>
    <mergeCell ref="E40:J40"/>
    <mergeCell ref="B51:C51"/>
    <mergeCell ref="A2:D2"/>
    <mergeCell ref="A25:D25"/>
    <mergeCell ref="A36:D36"/>
    <mergeCell ref="A40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Caroll Orduz</dc:creator>
  <cp:lastModifiedBy>Caroll Orduz</cp:lastModifiedBy>
  <dcterms:created xsi:type="dcterms:W3CDTF">2026-01-16T07:45:47Z</dcterms:created>
  <dcterms:modified xsi:type="dcterms:W3CDTF">2026-03-09T09:08:37Z</dcterms:modified>
</cp:coreProperties>
</file>